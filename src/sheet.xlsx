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30"/>
  <workbookPr/>
  <mc:AlternateContent xmlns:mc="http://schemas.openxmlformats.org/markup-compatibility/2006">
    <mc:Choice Requires="x15">
      <x15ac:absPath xmlns:x15ac="http://schemas.microsoft.com/office/spreadsheetml/2010/11/ac" url="https://d.docs.live.net/604ea001471daaea/Desktop/snuts/"/>
    </mc:Choice>
  </mc:AlternateContent>
  <xr:revisionPtr revIDLastSave="3837" documentId="11_23E5F1B2D340D77CEF592311595ED87656DCBE2C" xr6:coauthVersionLast="47" xr6:coauthVersionMax="47" xr10:uidLastSave="{730E609F-2484-42DC-B417-F659872E7063}"/>
  <bookViews>
    <workbookView xWindow="-96" yWindow="-96" windowWidth="23232" windowHeight="12432"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alcChain>
</file>

<file path=xl/sharedStrings.xml><?xml version="1.0" encoding="utf-8"?>
<sst xmlns="http://schemas.openxmlformats.org/spreadsheetml/2006/main" count="4993" uniqueCount="2134">
  <si>
    <t>Chat Name</t>
  </si>
  <si>
    <t>Name</t>
  </si>
  <si>
    <t>Tier</t>
  </si>
  <si>
    <t>Points</t>
  </si>
  <si>
    <t>School</t>
  </si>
  <si>
    <t>V</t>
  </si>
  <si>
    <t>S</t>
  </si>
  <si>
    <t>Casting Time</t>
  </si>
  <si>
    <t>Concentration</t>
  </si>
  <si>
    <t>Duration</t>
  </si>
  <si>
    <t>Range</t>
  </si>
  <si>
    <t>Rite</t>
  </si>
  <si>
    <t>Old Text</t>
  </si>
  <si>
    <t>New Text</t>
  </si>
  <si>
    <t>Higher Tiers</t>
  </si>
  <si>
    <t>`Erase Presence</t>
  </si>
  <si>
    <t>Erase Presence</t>
  </si>
  <si>
    <t>Bane</t>
  </si>
  <si>
    <t>10 minutes</t>
  </si>
  <si>
    <t>Instantaneous</t>
  </si>
  <si>
    <t>Self (50-foot cube)</t>
  </si>
  <si>
    <t xml:space="preserve">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 </t>
  </si>
  <si>
    <t>Shadow Enchantment</t>
  </si>
  <si>
    <t>Celestial</t>
  </si>
  <si>
    <t>1 Hour</t>
  </si>
  <si>
    <t>8 Hours</t>
  </si>
  <si>
    <t>touch</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</si>
  <si>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</si>
  <si>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</si>
  <si>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Borrowed Time</t>
  </si>
  <si>
    <t>Arcane</t>
  </si>
  <si>
    <t>1 AP</t>
  </si>
  <si>
    <t xml:space="preserve">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 </t>
  </si>
  <si>
    <t>Shadow Scribe</t>
  </si>
  <si>
    <t>2 AP</t>
  </si>
  <si>
    <t>1 hour</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</si>
  <si>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</si>
  <si>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 xml:space="preserve">When you cast this Glyph using a tier 3 or higher, the duration increases by 1 hour for each tier above 2. </t>
  </si>
  <si>
    <t>Ghrian's Bane</t>
  </si>
  <si>
    <t>1 minute</t>
  </si>
  <si>
    <t>8 hours</t>
  </si>
  <si>
    <t>Self (5-mile radius)</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</si>
  <si>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</si>
  <si>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 xml:space="preserve">Void of Nullification </t>
  </si>
  <si>
    <t>3 AP</t>
  </si>
  <si>
    <t xml:space="preserve">120 feet </t>
  </si>
  <si>
    <t xml:space="preserve">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
</t>
  </si>
  <si>
    <t>Reaper of the Abyss</t>
  </si>
  <si>
    <t>Self (30-foot cone)</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</si>
  <si>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</si>
  <si>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</si>
  <si>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Tenebrous Tether</t>
  </si>
  <si>
    <t>30 feet</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</si>
  <si>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</si>
  <si>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</si>
  <si>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Silent Confessions</t>
  </si>
  <si>
    <t>60 feet</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</si>
  <si>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</si>
  <si>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Flickering Scry</t>
  </si>
  <si>
    <t>Self</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</si>
  <si>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</si>
  <si>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</si>
  <si>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</si>
  <si>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Abyssal Prison</t>
  </si>
  <si>
    <t>90 feet</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</si>
  <si>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</si>
  <si>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 xml:space="preserve">Manipulate Shadows </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</si>
  <si>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</si>
  <si>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</si>
  <si>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</si>
  <si>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</si>
  <si>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</si>
  <si>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Ventriloquism</t>
  </si>
  <si>
    <t>Mind</t>
  </si>
  <si>
    <t>When you cast this glyph, select a creature or object that you can see within range. For the duration, whenever you would speak you may keep your mouth closed, if you do the sounds you would emit come from the target instead of you. If the target has a mouth (or something resembling a mouth), this mouth appears to move in sync with the sounds you produce. This doesn't change your voice or the sounds you can make.
Any creature trying to determine who is really talking must make a Wits (perception) or Wits (insight) check against your glyph save DC.
If you move more than 60 feet away from the target, the glyph ends.</t>
  </si>
  <si>
    <t>Spatial Shunt</t>
  </si>
  <si>
    <t>Choose a creature you can see within range and roll a d4. The creature is teleported 5 feet in a direction determined by the result: 1 north; 2 south; 3 east; or 4 west. If the space it would be teleported to is occupied or you cannot see it, the glyph has no effect.</t>
  </si>
  <si>
    <t>The distance at which a target is teleported increases by 5 feet when you reach 5th level (10 feet), 11th level (15 feet), and 17th level (20 feet).</t>
  </si>
  <si>
    <t>Consultation</t>
  </si>
  <si>
    <t>Pictura</t>
  </si>
  <si>
    <t>Harmony</t>
  </si>
  <si>
    <t>An unwilling creature must succeed on a Wellspring saving throw in order to not be teleported.</t>
  </si>
  <si>
    <t>Scry</t>
  </si>
  <si>
    <t xml:space="preserve">You call upon the hidden currents of the world’s wellsprings—threads of thought, memory, and essence that bind all souls. When you cast this glyph, you create a shimmering lens of mist and light before you, allowing you to spy upon a creature, location, or object that exists on the same plane of existence.
Choose one of the following targets:
    A creature you are familiar with
    A place you have seen or studied
    An object you have touched or hold a strong connection to
If targeting a creature, it must make a Wellspring saving throw. The DC is modified by how well you know the creature and the sort of physical connection you have to it (see table below). On a failed save, you can see and hear the creature and its surroundings (as if standing nearby) for the duration. On a success, the spell fails and cannot be used on the same creature for 24 hours.
Familiarity	Save Modifier
Secondhand (name only)	+5
Firsthand (you’ve met)	+0
Familiar (you know well)	-5
Connection	Save Modifier
Likeness or picture	-2
Possession or garment	-4
Body part or lock of hair	-10
If targeting a location, the glyph automatically succeeds if you’ve been there in person. Otherwise, there’s a 25% chance the image is blurry or unclear unless you have a strong connection (map, photograph, or an object from the place).
If targeting an object, you can view its immediate surroundings but not beyond a 10-foot radius. Magical or sentient objects may resist or distort the vision at the GM’s discretion.
Additional Features:
    While scrying, you are blinded and deafened to your own surroundings.
    If the target is aware they are being watched (via magical sensitivity or effects like True Seeing), they may make a Wellspring saving throw. On a success, they can obscure or falsify the image for the rest of the duration.
    Creatures protected by Nondetection, Mind Blank, or divine shielding automatically resist this glyph.
</t>
  </si>
  <si>
    <t>Greater Mana Armor</t>
  </si>
  <si>
    <t>You touch a willing creature who isn't wearing armor, and a protective magical force surrounds it until the glyph ends. The target's base AC becomes 16 + its Agility modifier. The glyph ends if the target dons armor or if you dismiss the glyph by spending 2 AP.</t>
  </si>
  <si>
    <t>Nameless Smite</t>
  </si>
  <si>
    <t>You call upon a forgotten force that erases the very essence of your foe. The next time you hit a creature with a melee weapon attack during this glyph’s duration, the attack shudders with soul-warping power. On a hit:
    The target takes an additional 5d6 psychic damage.
    The creature must succeed on a Mind saving throw or suffer the following effects until the glyph ends:
        It cannot speak or cast glyphs with verbal components.
        It forgets the names of itself, its allies, and its enemies, losing the ability to target creatures by name or recall who it was in combat with (at the GM's discretion, this might affect choices or reactions).
        The creature cannot benefit from any ability, glyph, or feature that requires knowing a name (such as Sending, Divine Word, or True Name effects).
On a successful save, the target still takes half of the psychic damage but resists the smite’s disorienting power. If the target fails its save by 5 or more the effects become permanant or until removed by greater restoration.</t>
  </si>
  <si>
    <t>When you cast this Glyph using a tier 7 or higher, the psychic damage increases by 1d6 for every tier above 6.</t>
  </si>
  <si>
    <t>Blighted Smite</t>
  </si>
  <si>
    <t>As part of casting this glyph, you must expend one of your own hit dice. If you do not, the glyph fails.
The next time you hit a creature with a melee weapon attack before the glyph ends, a crimson sheen flows down your weapon and desiccates into black spores mid-swing. On a hit:
    The target takes extra poison damage equal to the total rolled on the expended hit dice + your wellspring modifier. 
    In addition, the target loses all damage resistances and immunities until the start of your next turn, as the spores burrow into its flesh and disrupt its magical defenses.
If the attack misses, the glyph remains active until the duration ends or until you successfully hit a target.</t>
  </si>
  <si>
    <t>Siphoning Smite</t>
  </si>
  <si>
    <t>The next time you hit a creature with a weapon attack before this glyph ends, your weapon flares with unraveling force, cutting not only flesh but the threads of magic entwined around your foe.
On a hit:
    The attack deals an additional 3d8 aetherial damage.
    You attempt to dispel glyph-based effects currently affecting the target:
        All glyphs of tier 5 or lower on the target end automatically.
        For each glyph of tier 6 or higher, make a glyphcasting ability check (DC = 10 + the glyph’s tier). On a success, the glyph is dispelled.</t>
  </si>
  <si>
    <t>Ramming Smite</t>
  </si>
  <si>
    <t>The next time you hit a creature with a melee weapon attack during this spell’s duration, a spectral manifestation—shaped like the horns of a bull, a triceratops, or a massive ram—erupts with your strike, unleashing the full force of your momentum.
If you moved at least 5 feet in a straight line directly toward the target before striking, the target is pushed a number of feet equal to the distance you moved (up to a maximum of 60 feet). The target must then succeed on a Strength saving throw or be knocked prone.
If this movement causes the target to collide with a solid surface (wall, tree, boulder, etc.), it takes 1d6 bludgeoning damage for every 5 feet pushed before impact (to a maximum of 10d6). If no collision occurs, the target still takes 4d6 bludgeoning damage from the shockwave of force that launches it backward.
This glyph ends early if you cast another smite glyph.</t>
  </si>
  <si>
    <t>Anchoring Smite</t>
  </si>
  <si>
    <t>Chaos</t>
  </si>
  <si>
    <t>The next time you hit a creature with a weapon attack during this glyph’s duration, your weapon pulses with bright white light and crackles with mental force. On a hit, the attack deals an extra 5d6 psychic damage, and the target must succeed on a Mind saving throw or be restrained until the glyph ends. The target can reattempt to break free at the start of its turn.
While restrained in this way, the target cannot teleport or move extradimensionally by any means.
On a successful saving throw, the target is still briefly restrained until the start of its next turn, but is not blocked from teleportation or movement.</t>
  </si>
  <si>
    <t>Mass Vicious Mockery</t>
  </si>
  <si>
    <t>You telepathically string biting insults, laced with subtle enchantments, at up to six creatures you can see within range. Each target must be able to see you, though they do not need to understand your words.
Each chosen creature must make a Wits saving throw. On a failed save, the creature takes 4d8 psychic damage and has disadvantage on the next attack roll or saving throw it makes before the end of its next turn. On a successful save, the creature takes half damage and suffers no additional effects.</t>
  </si>
  <si>
    <t>When you cast this Glyph using a tier 4 or higher, the psychic damage increases by 1d8 for every tier above 3.</t>
  </si>
  <si>
    <t>What are the Odds</t>
  </si>
  <si>
    <t>300 feet</t>
  </si>
  <si>
    <t>You point at a creature you can see within range and challenge it in a deadly game of chance. Both you and the target must mentally choose a number between 1 and 100. Then, roll a d100 to determine whose chosen number is closer to the result.
    If the number you rolled is closer to your chosen number than to the target’s: the creature takes 20d12 + 20 void damage as the darkness lashes out in your favor.
    If the number rolled is closer to the target's number, you must make a DC 23 Constitution saving throw as the backlash surges into your body.
        On a failed save, your hit points drop to 0, and you fall unconscious.
        On a successful save, your hit points drop to 1, and you remain conscious, barely clinging to life.
If the result is equidistant between the two chosen numbers, the glyph fizzles with a neutral outcome—no effect occurs, and the mana is expended.
This glyph bypasses resistances and immunities to void damage.</t>
  </si>
  <si>
    <t>When you cast this Glyph using a tier 9 or higher, the void damage increases by 1d12 for every tier above 8.</t>
  </si>
  <si>
    <t>Gather Round the Campfire</t>
  </si>
  <si>
    <t>Self (60-foot radius)</t>
  </si>
  <si>
    <t>You summon a glowing magical campfire in front of you. The surrounding light dims to a soft moonlit glow, and the firelight flickers warmly against your features. Your voice weaves ancient tales in the most universal language of all: the language of stories.
When the glyph is cast, all humanoid creatures within a 60-foot radius of the campfire must make a Mind saving throw. A creature may choose to willingly fail this saving throw.
    On a failed save, the creature is charmed by you for the duration. While charmed in this way, it stops what it is doing and listens, captivated by your words with childlike wonder.
        While charmed, a creature cannot take aggressive actions against you.
        Any ability checks, attack rolls, or saving throws it attempts are made at disadvantage, as its attention is drawn irresistibly to your storytelling.
        The creature understands your words regardless of what language you speak.
    On a successful save, the creature resists the enchantment but becomes aware that you attempted to charm it.
A creature that is affected by this glyph may attempt to break free every 10 minutes by making a Mind saving throw against your glyph DC. On a success, the creature must immediately leave the area. It cannot take any other action that round except to move directly away. On a failure, it remains enchanted and continues listening.
Once the glyph ends, creatures that were charmed by it do not remember being charmed or having acted against their will. They recall only that they sat and listened to a mesmerizing story around a campfire. Each creature who spends 10 minutes around the campfire regains 2d10 + your wellspring modifier hitpoints.</t>
  </si>
  <si>
    <t>Wellspring Containment</t>
  </si>
  <si>
    <t>Until Broken</t>
  </si>
  <si>
    <t>Touch</t>
  </si>
  <si>
    <t xml:space="preserve">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
</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</si>
  <si>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</si>
  <si>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</si>
  <si>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</si>
  <si>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</si>
  <si>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</si>
  <si>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</si>
  <si>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</si>
  <si>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</si>
  <si>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Agron's Volt Strider</t>
  </si>
  <si>
    <t xml:space="preserve">Self </t>
  </si>
  <si>
    <r>
      <rPr>
        <sz val="10"/>
        <color rgb="FF000000"/>
        <rFont val="Bahnschrift"/>
      </rPr>
      <t xml:space="preserve">Until the glyph ends, your body crackles with lightning and surges with storm energy. Arcs of electricity coil around you, and your form becomes volatile and untouchable. While this glyph is active, you gain the following benefits:
    </t>
    </r>
    <r>
      <rPr>
        <b/>
        <sz val="10"/>
        <color rgb="FF000000"/>
        <rFont val="Bahnschrift"/>
      </rPr>
      <t>Lightning Flight.</t>
    </r>
    <r>
      <rPr>
        <sz val="10"/>
        <color rgb="FF000000"/>
        <rFont val="Bahnschrift"/>
      </rPr>
      <t xml:space="preserve"> You gain a flying speed of 60 feet (hover). If you are still airborne when the spell ends and have no other means of flight, you fall.
    </t>
    </r>
    <r>
      <rPr>
        <b/>
        <sz val="10"/>
        <color rgb="FF000000"/>
        <rFont val="Bahnschrift"/>
      </rPr>
      <t>Boltstep</t>
    </r>
    <r>
      <rPr>
        <sz val="10"/>
        <color rgb="FF000000"/>
        <rFont val="Bahnschrift"/>
      </rPr>
      <t xml:space="preserve">.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t>
    </r>
    <r>
      <rPr>
        <b/>
        <sz val="10"/>
        <color rgb="FF000000"/>
        <rFont val="Bahnschrift"/>
      </rPr>
      <t xml:space="preserve">Stormstrikes. </t>
    </r>
    <r>
      <rPr>
        <sz val="10"/>
        <color rgb="FF000000"/>
        <rFont val="Bahnschrift"/>
      </rPr>
      <t>When you hit with a melee or ranged weapon attack, the attack deals an extra 3d6 lightning damage.</t>
    </r>
  </si>
  <si>
    <t>When you cast this Glyph using a tier 8 or higher, the lightning damage increases by an addtional 1d10 to your teleport damage and an addtional 1d6 lightning damage. for every tier above 7.</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</si>
  <si>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</si>
  <si>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</si>
  <si>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</si>
  <si>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</si>
  <si>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</si>
  <si>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</si>
  <si>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Summon Glass Eyes</t>
  </si>
  <si>
    <t>Until Dismissed</t>
  </si>
  <si>
    <t>10 feet</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</si>
  <si>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</si>
  <si>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</si>
  <si>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</si>
  <si>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</si>
  <si>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</si>
  <si>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</si>
  <si>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</si>
  <si>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</si>
  <si>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</si>
  <si>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</si>
  <si>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Healing Pulse</t>
  </si>
  <si>
    <t>1 round</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</si>
  <si>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</si>
  <si>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</si>
  <si>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</si>
  <si>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</si>
  <si>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</si>
  <si>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</si>
  <si>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</si>
  <si>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Explosive Glacier</t>
  </si>
  <si>
    <t>Elemental</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</si>
  <si>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</si>
  <si>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</si>
  <si>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</si>
  <si>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</si>
  <si>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</si>
  <si>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Time Snare</t>
  </si>
  <si>
    <t>120 feet</t>
  </si>
  <si>
    <t xml:space="preserve">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 </t>
  </si>
  <si>
    <t>Mana Lock</t>
  </si>
  <si>
    <t xml:space="preserve">60 feet </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</si>
  <si>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</si>
  <si>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</si>
  <si>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</si>
  <si>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</si>
  <si>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</si>
  <si>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</si>
  <si>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</si>
  <si>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</si>
  <si>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</si>
  <si>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</si>
  <si>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</si>
  <si>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</si>
  <si>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</si>
  <si>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</si>
  <si>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</si>
  <si>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</si>
  <si>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</si>
  <si>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</si>
  <si>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</si>
  <si>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</si>
  <si>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</si>
  <si>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When you cast this Glyph using a tier 3 or higher, the extra damage increases by 1d6 for every tier above 2.</t>
  </si>
  <si>
    <t>Life Exchange</t>
  </si>
  <si>
    <t xml:space="preserve">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 </t>
  </si>
  <si>
    <t>Abyssal Armor</t>
  </si>
  <si>
    <t xml:space="preserve">After casting this glyph, a shroud of dark flames wreathes your body. For the duration, any creature within 5 feet of you that touches or strikes you with an unarmed or melee  weapon attack takes  2d4 void damage + your glyphcasting ability modifier. </t>
  </si>
  <si>
    <t>When you cast this Glyph using a tier 3 or higher, the extra damage increases by 1d4 for every tier above 2.</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</si>
  <si>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</si>
  <si>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</si>
  <si>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</si>
  <si>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</si>
  <si>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</si>
  <si>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</si>
  <si>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</si>
  <si>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</si>
  <si>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</si>
  <si>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</si>
  <si>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</si>
  <si>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</si>
  <si>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When you cast this Glyph using a tier 4 or higher, the extra damage increases by 1d6 for every tier above 3.</t>
  </si>
  <si>
    <t>Absorb Elements</t>
  </si>
  <si>
    <t>1 AP, when you take acid, cold, fire, lightning, or thunder damage</t>
  </si>
  <si>
    <t>The spell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spell ends.</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</si>
  <si>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</si>
  <si>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</si>
  <si>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Melf's Acid Arrow</t>
  </si>
  <si>
    <t>A shimmering green arrow streaks toward a target within range and bursts in a spray of acid. Make a ranged spell attack against the target. On a hit, the target takes 4d4 acid damage immediately and 2d4 acid damage at the end of its next turn. On a miss, the arrow splashes the target with acid for half as much of the initial damage and no damage at the end of its next turn.</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</si>
  <si>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</si>
  <si>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</si>
  <si>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</si>
  <si>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Dexterity saving throw or take 1d6 acid damage. This spell's damage increases by 1d6 when you reach 5th level (2d6), 11th level (3d6), and 17th level (4d6).</t>
  </si>
  <si>
    <t xml:space="preserve">You hurl a bubble of acid. Choose one creature within range, or choose two creatures within range that are within 5 feet of each other. A target must succeed on a agility saving throw or take 1d6 acid damage. </t>
  </si>
  <si>
    <t>This glyph's damage increases by 1d6 when you reach 5th level (2d6), 11th level (3d6), and 17th level (4d6).</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</si>
  <si>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</si>
  <si>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</si>
  <si>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 xml:space="preserve">For every 3 aditional mana you expend in the casting of this glyph, equally as much mana is applied to subsequent glyphs effected by this one. </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</si>
  <si>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</si>
  <si>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</si>
  <si>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</si>
  <si>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</si>
  <si>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</si>
  <si>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</si>
  <si>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 xml:space="preserve">When you cast this Glyph using 21 or more mana, the extra damage increases by 2d4 and the movement speed increases by 10 feet, for every 6 additional mana expended.     </t>
  </si>
  <si>
    <t>Aid</t>
  </si>
  <si>
    <t>Your spell bolsters your allies with toughness and resolve. Choose up to three creatures within range. Each target's hit point maximum and current hit points increase by 5 for the duration.</t>
  </si>
  <si>
    <t>Your glyph bolsters your allies with toughness and resolve. Choose up to three creatures within range. Each target's hit point maximum and current hit points increase by 5 for the duration.</t>
  </si>
  <si>
    <t xml:space="preserve">When you cast this Glyph using 6 or more mana,  a target's hit points increase by an additional 5 for every 3 additional mana expended. </t>
  </si>
  <si>
    <t>Air Bubble</t>
  </si>
  <si>
    <t>24 hours</t>
  </si>
  <si>
    <t>You create a spectral globe around the head of a willing creature you can see within range. The globe is filled with fresh air that lasts until the spell ends. If the creature has more than one head, the globe of air appears around only one of its heads (which is all the creature needs to avoid suffocation, assuming that all its heads share the same respiratory system).</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</si>
  <si>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</si>
  <si>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</si>
  <si>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</si>
  <si>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</si>
  <si>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</si>
  <si>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</si>
  <si>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</si>
  <si>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spell ends, an alarm alerts you whenever a Tiny or larger creature touches or enters the warded area. When you cast the spell,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</si>
  <si>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</si>
  <si>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</si>
  <si>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</si>
  <si>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</si>
  <si>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spell, choose one of the following options, the effects of which last for the duration of the spell. While the spell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spell to become quadrupedal, for instance. At any time for the duration of the spell,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</si>
  <si>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</si>
  <si>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 </t>
  </si>
  <si>
    <t>At Higher Levels. You can expend extra mana to increase the effects of the glyph, you learn one additional quality from the list for every 3 additional mana expended. </t>
  </si>
  <si>
    <t>At Higher Levels. You can expend extra mana to increase the effects of the glyph, you learn one additional quality from the list for every 3 additional mana expended.Â </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</si>
  <si>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</si>
  <si>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 </t>
  </si>
  <si>
    <t>At Higher Mana Cost: You can expend extra mana to increase the effects of the glyph, the temporary hit points gained increases by 5 for every 3 additional mana expended.Â </t>
  </si>
  <si>
    <t>Animal Friendship</t>
  </si>
  <si>
    <t>This spell lets you convince a beast that you mean it no harm. Choose a beast that you can see within range. It must see and hear you. If the beast's Intelligence is 4 or higher, the spell fails. Otherwise, the beast must succeed on a Wisdom saving throw or be charmed by you for the spell's duration. If you or one of your companions harms the target, the spell ends.</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</si>
  <si>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</si>
  <si>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</si>
  <si>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</si>
  <si>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spell,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spell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spell ends, the message is lost, and the beast makes its way back to where you cast this spell.</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</si>
  <si>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</si>
  <si>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</si>
  <si>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</si>
  <si>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</si>
  <si>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</si>
  <si>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Intelligence, Wisdom, and Charisma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spells. The target's gear melds into the new form. The target can't activate, wield, or otherwise benefit from any of its equipment.</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</si>
  <si>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</si>
  <si>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</si>
  <si>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This spell creates an undead servant. Choose a pile of bones or a corpse of a Medium or Small humanoid within range. Your spell imbues the target with a foul mimicry of life, raising it as an undead creature. The target becomes a skeleton if you chose bones or a zombie if you chose a corpse (the DM has the creature's game statistics). On each of your turns, you can use a bonus action to mentally command any creature you made with this spell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spell on the creature again before the current 24-hour period ends. This use of the spell reasserts your control ovre up to four creatures you have animated with this spell, rather than animating a new one.</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</si>
  <si>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</si>
  <si>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</si>
  <si>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</si>
  <si>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</si>
  <si>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spell ends or until reduced to 0 hit points. As a bonus action, you can mentally command any creature you made with this spell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Dexterity determined by its size. Its Constitution is 10 and its Intelligence and Wisdom are 3, and its Charisma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</si>
  <si>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</si>
  <si>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</si>
  <si>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</si>
  <si>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</si>
  <si>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</si>
  <si>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</si>
  <si>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</si>
  <si>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undead and constructs. The barrier lasts for the duration. The barrier prevents an affected creature from passing or reaching through. An affected creature can cast spells or make attacks with ranged weapons through the barrier. If you move so that an affected creature is forced to pass through the barrier, the spell ends.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</si>
  <si>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</si>
  <si>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</si>
  <si>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</si>
  <si>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spells can't be cast, summoned creatures disappear, and even magic items become mundane. Until the spell ends, the sphere moves with you, centered on you. Spells and other magical effects, except those created by an artifact or a deity, are suppressed in the sphere and can't protrude into it. A slot expended to cast a suppressed spell is consumed. While an effect is suppressed, it doesn't function, but the time it spends suppressed counts against its duration. Targeted Effects. Spells and other magical effects, such as magic missile and charm person, that target a creature or an object in the sphere have no effect on that target. Areas of Magic. The area of another spell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Spells. Any active spell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spell, temporarily closes while in the sphere. Creatures and Objects. A creature or object summoned or created by magic temporarily winks out of existence in the sphere. Such a creature instantly reappears once the space the creature occupied is no longer within the sphere. Dispel Magic. Spells and magical effects such as dispel magic have no effect on the sphere. Likewise, the spheres created by different antimagic field spells don't nullify each other.</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</si>
  <si>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</si>
  <si>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</si>
  <si>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</si>
  <si>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spell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Wisdom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Wisdom saving throw or use its movement on each of its turns to enter the area or move within reach of the target. When the creature has done so, it can't willingly move away fram the target. If the target damages or otherwise harms an affected creature, the affected creature can make a Wisdom saving throw to end the effect, as described below. Ending the Effect. If an affected creature ends its turn while not within 60 feet of the target or able to see it, the creature makes a Wisdom saving throw. On a successful save, the creature is no longer affected by the target and recognizes the feeling of repugnance or attraction as magical. In addition, a creature affected by the spell is allowed another Wisdom saving throw every 24 hours while the spell persists. A creature that successfully saves against this effect is immune to it for 1 minute, after which time it can be affected again.</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</si>
  <si>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</si>
  <si>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 xml:space="preserve">1 AP </t>
  </si>
  <si>
    <t xml:space="preserve">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 </t>
  </si>
  <si>
    <t xml:space="preserve">Increase duration and damage / level up. </t>
  </si>
  <si>
    <t xml:space="preserve">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 </t>
  </si>
  <si>
    <t>At Higher Mana Cost: You can expend extra mana to increase the effects of the glyph, the damage increases by 1d6 for every 3 additional mana expended. </t>
  </si>
  <si>
    <t>At Higher Mana Cost: You can expend extra mana to increase the effects of the glyph, the damage increases by 1d6 for every 3 additional mana expended.Â </t>
  </si>
  <si>
    <t>Nystul's Magic Aura</t>
  </si>
  <si>
    <t>You place an illusion on a creature or an object you touch so that divination spells reveal false information about it. The target can be a willing creature or an object that isn't being carried or worn by another creature. When you cast the spell, choose one or both of the following effects. The effect lasts for the duration. If you cast this spell on the same creature or object every day for 30 days, placing the same effect on it each time, the illusion lasts until it is dispelled. False Aura. You change the way the target appears to spells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spells and magical effects that detect creature types, such as a paladin's Divine Sense or the trigger of a symbol spell. You choose a creature type and other spells and magical effects treat the target as if it were a creature of that type or of that alignment.</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</si>
  <si>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</si>
  <si>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</si>
  <si>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</si>
  <si>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</si>
  <si>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spell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</si>
  <si>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</si>
  <si>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You touch a locked, non-magical door, chest, or other object, as well as any toolset, temporarily transmuting the lock mechanism, when you or an ally within 5 feet of you attempts to pick a lock, you can add your Wellspring (arcana) modifier in place of Profession for the check to anyone attempting the to pick the lock. Additionally, the toolst counts as Tinkerer's Tools for the sake of picking that lock. This effect lasts for 1 minute or until the lockpicking attempt is completed.</t>
  </si>
  <si>
    <t>Arcane Lock</t>
  </si>
  <si>
    <t>Until dispelled</t>
  </si>
  <si>
    <t>You touch a closed door, window, gate, chest, or other entryway, and it becomes locked for the duration. You and the creatures you designate when you cast this spell can open the object normally. You can also set a password that, when spoken within 5 feet of the object, suppresses this spell for 1 minute. Otherwise, it is impassable until it is broken or the spell is dispelled or suppressed. Casting knock on the object suppresses arcane lock for 10 minutes. While affected by this spell, the object is more difficult to break or force open; the DC to break it or pick any locks on it increases by 10.</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</si>
  <si>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</si>
  <si>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Armor of Agathys</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</si>
  <si>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</si>
  <si>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</si>
  <si>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</si>
  <si>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 </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</si>
  <si>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 </t>
  </si>
  <si>
    <t>Arsenal of Radiance</t>
  </si>
  <si>
    <r>
      <rPr>
        <sz val="9"/>
        <color rgb="FF000000"/>
        <rFont val="Arial"/>
      </rPr>
      <t>Tapping into the boundless forges beyond the planes, you manifest spectral echoes of armaments. When you cast this glyph, and by spending </t>
    </r>
    <r>
      <rPr>
        <b/>
        <sz val="9"/>
        <color rgb="FF000000"/>
        <rFont val="Arial"/>
      </rPr>
      <t>2 AP</t>
    </r>
    <r>
      <rPr>
        <sz val="9"/>
        <color rgb="FF000000"/>
        <rFont val="Arial"/>
      </rPr>
      <t xml:space="preserve">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r>
  </si>
  <si>
    <t>Astral Blade</t>
  </si>
  <si>
    <t>self</t>
  </si>
  <si>
    <t xml:space="preserve">You coat a weapon you are currently wielding with psychic energy. Making it a magical weapon. It deals an extra 1d8 psychic damage on a hit. </t>
  </si>
  <si>
    <t>When you cast this glyph using tier 5 or 6, the damage increases to 2d8. When you cast it using a tier 7 or 8, the damage increases to 3d8. When you cast it using a tier 9-11 the damage increases to 5d8. When you cast it using a tier 12 the damage increases to 6d8</t>
  </si>
  <si>
    <t>Tasha's Mind Whip</t>
  </si>
  <si>
    <t>You psychically lash out at one creature you can see within range. The target must make an Intelligence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spell's other effects.</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</si>
  <si>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</si>
  <si>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</si>
  <si>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</si>
  <si>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</si>
  <si>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spell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</si>
  <si>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</si>
  <si>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</si>
  <si>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spell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</si>
  <si>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</si>
  <si>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</si>
  <si>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spell ends, the aura moves with you, centered on you. You can use a bonus action to cause one creature in the aura (including you) to regain 2d6 hit points.</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</si>
  <si>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</si>
  <si>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</si>
  <si>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Intelligence score or an Intelligence of 3 or less. The target gains an Intelligence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</si>
  <si>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</si>
  <si>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Charisma saving throws. Whenever a target that fails this saving throw makes an attack roll or a saving throw before the spell ends, the target must roll a d4 and subtract the number rolled from the attack roll or saving throw.</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</si>
  <si>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</si>
  <si>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</si>
  <si>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</si>
  <si>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</si>
  <si>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 xml:space="preserve">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 </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</si>
  <si>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</si>
  <si>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</si>
  <si>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spell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spell ends, at which point the target reappears in the space it left or in the nearest unoccupied space if that space is occupied.</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</si>
  <si>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</si>
  <si>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</si>
  <si>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Charisma saving throw or be banished. If the target is native to the plane of existence you're on, you banish the target to a harmless demiplane. While there, the target is incapacitated. The target remains there until the spell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spell ends before 1 minute has passed, the target reappears in the space it left or in the nearest unoccupied space if that space is occupied. Otherwise, the target doesn't return.</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</si>
  <si>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</si>
  <si>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</si>
  <si>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</si>
  <si>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spell ends, the target's skin has a rough, bark-like appearance, and the target's AC can't be less than 16, regardless of what kind of armor it is wearing.</t>
  </si>
  <si>
    <t>You touch a willing creature. Until the glyph ends, the target's skin has a rough, bark-like appearance, and the target's AC can't be less than 16, regardless of what kind of armor it is wearing.</t>
  </si>
  <si>
    <t>Beacon of Hope</t>
  </si>
  <si>
    <t>This spell bestows hope and vitality. Choose any number of creatures within range. For the duration, each target has advantage on Wisdom saving throws and death saving throws, and regains the maximum number of hit points possible from any healing.</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</si>
  <si>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</si>
  <si>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</si>
  <si>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spell fails if the beast's Intelligence score is 4 or higher. Until the spell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</si>
  <si>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</si>
  <si>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</si>
  <si>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spell,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</si>
  <si>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</si>
  <si>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Divine Favor</t>
  </si>
  <si>
    <t>Your prayer empowers you with divine  radiance. Until the spell ends, your weapon attacks deal an extra 1d4 radiant damage on a hit.</t>
  </si>
  <si>
    <t>Your prayer empowers you with divine  radiance. Until the glyph ends, your weapon attacks deal an extra 1d4 radiant damage on a hit.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</si>
  <si>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</si>
  <si>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 </t>
  </si>
  <si>
    <t>At Higher Mana Cost: You can expend extra mana to increase the effects of the glyph, the damage increases by 1d12 for every 3 additional mana expended.Â </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</si>
  <si>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</si>
  <si>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</si>
  <si>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</si>
  <si>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</si>
  <si>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</si>
  <si>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Dexterity saving throw. On a failed save, the creature takes 6d10 slashing damage. On a successful save, the creature takes half as much damage.</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</si>
  <si>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</si>
  <si>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</si>
  <si>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spell, you can make up to two melee spell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spell attacks with it again. The blade can harmlessly pass through any barrier, including a wall of force.</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</si>
  <si>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</si>
  <si>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</si>
  <si>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</si>
  <si>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</si>
  <si>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 </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</si>
  <si>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 </t>
  </si>
  <si>
    <t>At Higher Mana Cost: You can expend extra mana to increase the effects of the glyph, you conjure one additional ice blade for every 3 additional mana expended. </t>
  </si>
  <si>
    <t>At Higher Mana Cost: You can expend extra mana to increase the effects of the glyph, you conjure one additional ice blade for every 3 additional mana expended.Â </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</si>
  <si>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</si>
  <si>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spell has no effect on undead or constructs. If you target a nonmagical plant that isn't a creature, such as a tree or shrub, it doesn't make a saving throw; it simply withers and dies.</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</si>
  <si>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</si>
  <si>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</si>
  <si>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</si>
  <si>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spell's duration, your weapon flares with bright light, and the attack deals an extra 3d8 radiant damage to the target. Additionally, the target must succeed on a Constitution saving throw or be blinded until the spell ends. A creature blinded by this spell makes another Constitution saving throw at the end of each of its turns. On a successful save, it is no longer blinded.</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</si>
  <si>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</si>
  <si>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</si>
  <si>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spell ends.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</si>
  <si>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</si>
  <si>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</si>
  <si>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 xml:space="preserve">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 </t>
  </si>
  <si>
    <t>At Higher Mana Cost: You can expend extra mana to increase the effects of the glyph, you can target an additional target for every 6 additional mana expended. </t>
  </si>
  <si>
    <t>At Higher Mana Cost: You can expend extra mana to increase the effects of the glyph, you can target an additional target for every 6 additional mana expended.Â </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</si>
  <si>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</si>
  <si>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</si>
  <si>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</si>
  <si>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</si>
  <si>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</si>
  <si>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</si>
  <si>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 xml:space="preserve">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 
</t>
  </si>
  <si>
    <t>When you cast this glyph using a tier 2 or higher the weight increases by 200 pounds per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</si>
  <si>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</si>
  <si>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Dexterity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Dexterity check (the creature's choice) against the spell's save DC. On a success, the creature is no longer restrained and must either move off the pillar or fall off it.</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</si>
  <si>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</si>
  <si>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</si>
  <si>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</si>
  <si>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</si>
  <si>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spell's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spell ends. This spell's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</si>
  <si>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</si>
  <si>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 </t>
  </si>
  <si>
    <t>At Higher Levels. You can expend extra mana to increase the effects of the glyph, you can target one additional creature for every 3 additional mana expended. </t>
  </si>
  <si>
    <t>At Higher Levels. You can expend extra mana to increase the effects of the glyph, you can target one additional creature for every 3 additional mana expended.Â </t>
  </si>
  <si>
    <t>Borrowed Knowledge</t>
  </si>
  <si>
    <t>You draw on knowledge from spirits of the past. Choose one skill in which you lack proficiency. For the spell's duration, you have proficiency in the chosen skill. The spell ends early if you cast it again.</t>
  </si>
  <si>
    <t>You draw on knowledge from spirits of the past. Choose one skill in which you lack proficiency. For the glyph's duration, you have proficiency in the chosen skill. The glyph ends early if you cast it again.</t>
  </si>
  <si>
    <t xml:space="preserve">You target a caster with a severe detriment to attention span. The target cannot cast glyphs that require concentration and must make a save to maintain concentration at the start of each of its turns. </t>
  </si>
  <si>
    <t>Branding Smite</t>
  </si>
  <si>
    <t>The next time you hit a creature with a weapon attack before this spell ends, the weapon gleams with astral radiance as you strike. The attack deals an extra 2d6 radiant damage to the target, which becomes visible if it's invisibie, and the target sheds dim light in a 5-foot radius and can't become invisible until the spell ends.</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</si>
  <si>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</si>
  <si>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</si>
  <si>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</si>
  <si>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</si>
  <si>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</si>
  <si>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</si>
  <si>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Dexterity saving throw. A creature takes 3d6 fire damage on a failed save, or half as much damage on a successful one. The fire ignites any flammable objects in the area that aren't being worn or carried.</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</si>
  <si>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</si>
  <si>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</si>
  <si>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Magic Jar</t>
  </si>
  <si>
    <t>Your body falls into a catatonic state as your soul leaves it and enters the container you used for the spell's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spell) or attempting to possess a humanoids body. You can attempt to possess any humanoid within 100 feet of you that you can see (creatures warded by a protection from evil and good or magic circle spell can't be possessed). The target must make a Charisma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Intelligence, Wisdom, and Charisma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Charisma saving throw against your own spellcasting DC. On a success, you return to the container if it is within 100 feet of you. Otherwise, you die. If the container is destroyed or the spell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spell ends, the container is destroyed.</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</si>
  <si>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</si>
  <si>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</si>
  <si>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spell fails if you can't see a point in the air where the storm cloud could appear (for example, if you are in a room that can't accommodate the cloud). When you cast the spell, choose a point you can see within range. A ball of lightning flashes down from the cloud to that point. Each creature within 5 feet of that point must make a Dexterity saving throw. A creature takes 3d10 lightning damage on a failed save, or half as much damage on a successful one. On each of your turns until the spell ends, you can use your action to call down lightning in this way again, targeting the same point or a different one. If you are outdoors in stormy conditions when you cast this spell, the spell gives you control over the existing storm instead of creating a new one. Under such conditions, the spell's damage increases by 1d10.</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</si>
  <si>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</si>
  <si>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</si>
  <si>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</si>
  <si>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Charisma saving throw; a creature can choose to fail this saving throw if it wishes. If a creature fails its saving throw, choose one of the following two effects. You can suppress any effect causing a target to be charmed or frightened. When this spell ends, any suppressed effect resumes, provided that its duration has not expired in the meantime. Alternatively, you can make a target indifferent about creatures of your choice that it is hostile toward. This indifference ends if the target is attacked or harmed by a spell or if it witnesses any of its friends being harmed. When the spell ends, the creature becomes hostile again, unless the DM rules otherwise.</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</si>
  <si>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</si>
  <si>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</si>
  <si>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Dexterity saving throw. On a failed save, the object strikes the target and stops moving. When the object strikes something, the object and what it strikes each take 3d8 bludgeoning damage.</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</si>
  <si>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</si>
  <si>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</si>
  <si>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</si>
  <si>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</si>
  <si>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</si>
  <si>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undead is immune to this effect. The target must succeed on a Wisdom saving throw or become frightened of you until the spell ends. The frightened target can repeat the saving throw at the end of each of its turns, ending the effect on itself on a success.</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</si>
  <si>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</si>
  <si>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</si>
  <si>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</si>
  <si>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spell, choose one of the following rites, the target of which must be within 10 feet of you throughout the casting. Atonement: You touch one willing creature whose alignment has changed, and you make a DC 20 Wisdom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undead by any means short of a wish spell; Wedding: You touch adult humanoids willing to be bonded together in marriage. For the next 7 days, each target gains a +2 bonus to AC while they are within 30 feet of each other. A creature can benefit from this rite again only if widowed.</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</si>
  <si>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</si>
  <si>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</si>
  <si>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</si>
  <si>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Dexterity saving throw. The target takes 10d8 lightning damage on a failed save, or half as much damage on a successful one.</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</si>
  <si>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</si>
  <si>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</si>
  <si>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</si>
  <si>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</si>
  <si>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spell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spell.</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</si>
  <si>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</si>
  <si>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</si>
  <si>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</si>
  <si>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Wisdom saving throw, and it does so with advantage if you or your companions are fighting it. If it fails the saving throw, it is charmed by you until the spell ends or until you or your companions do anything harmful to it. The charmed creature is friendly to you. When the spell ends, the creature knows it was charmed by you.</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</si>
  <si>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</si>
  <si>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</si>
  <si>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</si>
  <si>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Wisdom saving throw, and does so with advantage if you or your companions are fighting it. If it fails the saving throw. It is charmed by you until the spell ends or until you or your companions do anything harmful to it. The charmed creature regards you as a friendly acquaintance. When the spell ends, the creature knows it was charmed by you.</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</si>
  <si>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</si>
  <si>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</si>
  <si>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spell attack against the creature to assail it with the chill of the grave. On a hit, the target takes 1d8 necrotic damage, and it can't regain hit points until the start of your next turn. Until then, the hand clings to the target. If you hit an undead target, it also has disadvantage on attack rolls against you until the end of your next turn. This spell's damage increases by 1d8 when you reach 5th level (2d8). 11th level (3d8), and 17th level (4d8).</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</si>
  <si>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</si>
  <si>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</si>
  <si>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spell attack against the target. If the attack hits, the creature takes 3d8 damage of the type you chose.</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</si>
  <si>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</si>
  <si>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</si>
  <si>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</si>
  <si>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</si>
  <si>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</si>
  <si>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</si>
  <si>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spell ends, the sphere moves with you, centered on you. For the duration, each friendly creature in the area (including you) has advantage on saving throws against spells and other magical effects. Additionally, when an affected creature succeeds on a saving throw made against a spell or magical effect that allows it to make a saving throw to take only half damage, it instead takes no damage if it succeeds on the saving throw.</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</si>
  <si>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</si>
  <si>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</si>
  <si>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</si>
  <si>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</si>
  <si>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</si>
  <si>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spell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</si>
  <si>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</si>
  <si>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</si>
  <si>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spell. Its area is heavily obscured. When a creature enters the spell's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</si>
  <si>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</si>
  <si>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</si>
  <si>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</si>
  <si>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spell can affect. Creatures in a 15-foot cone originating from you are affected in ascending order of their current hit points (ignoring unconscious creatures and creatures that can't see). Starting with the creature that has the lowest current hit points, each creature affected by this spell is blinded until the spell ends, subtract each creature's hit points from the total before moving on to the creature with the next lowest hit points. A creature's hit points must be equal to or less than the remaining total for that creature to be affected.</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</si>
  <si>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</si>
  <si>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</si>
  <si>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 xml:space="preserve">You magicly create an illusin to mask or create a colorful effect on an object within range. </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</si>
  <si>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</si>
  <si>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 </t>
  </si>
  <si>
    <t>At Higher Mana Cost: You can expend extra mana to increase the effects of the glyph, the damage increases by 1d10 and 1d6Â  for every 3 additional mana expended.Â </t>
  </si>
  <si>
    <t>Command</t>
  </si>
  <si>
    <t>You speak a one-word command to a creature you can see within range. The target must succeed on a Wisdom saving throw or follow the command on its next turn. The spell has no effect if the target is undead,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spell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</si>
  <si>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</si>
  <si>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</si>
  <si>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</si>
  <si>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spell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spell two or more times before finishing your next long rest, there is a cumulative 25 percent chance for each casting after the first that you get no answer. The DM makes this roll in secret.</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</si>
  <si>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</si>
  <si>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</si>
  <si>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spell gives you knowledge of the land within 3 miles of you. In caves and other natural underground settings, the radius is limited to 300 feet. The spell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fiends, elementals, or undead; influence from other planes of existence; buildings. For example, you could determine the location of powerful undead in the area, the location of major sources of safe drinking water, and the location of any nearby towns.</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</si>
  <si>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</si>
  <si>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</si>
  <si>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</si>
  <si>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</si>
  <si>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Wisdom saving throw. On a failed save, the creature is drawn to you, compelled by your divine demand. For the duration, it has disadvantage on attack rolls against creatures other than you, and must make a Wisdom saving throw each time it attempts to move to a space that is more than 30 feet away from you; if it succeeds on this saving throw, this spell doesn't restrict the target's movement for that turn. The spell ends if you attack any other creature, if you cast a spell that targets a hostile creature other than the target, if a creature friendly to you damages the target or casts a harmful spell on it, or if you end your turn more than 30 feet away from the target.</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</si>
  <si>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</si>
  <si>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</si>
  <si>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arcane sigil, that isn't part of a written language.</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</si>
  <si>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</si>
  <si>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</si>
  <si>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Wisdom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Wisdom saving to try to end the effect. A target isn't compelled to move into an obviously deadly hazard, such as a fire or pit, but it will provoke opportunity attacks to move in the designated direction.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</si>
  <si>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</si>
  <si>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</si>
  <si>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</si>
  <si>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spell becomes a frozen statue until it thaws.</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</si>
  <si>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</si>
  <si>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</si>
  <si>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spell assaults and twists creatures' minds, spawning delusions and provoking uncontrolled action. Each creature in a 10-foot-radius sphere centered on a point you choose within range must succeed on a Wisdom saving throw when you cast this spell or be affected by it. An affected target can't take reactions and must roll a d10 at the start of each of its turns to determine its behavior for that turn. At the end of each of its turns, an affected target can make a Wisdom saving throw. If it succeeds, this effect ends for that target.</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</si>
  <si>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</si>
  <si>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</si>
  <si>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</si>
  <si>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spell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</si>
  <si>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</si>
  <si>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</si>
  <si>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</si>
  <si>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Dexterity saving throw. A creature takes 3d8 damage on a failed save, or half as much damage on a successful one. The damage type is the same as that of the weapon or ammunition used as a component.</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</si>
  <si>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</si>
  <si>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</si>
  <si>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spell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</si>
  <si>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</si>
  <si>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</si>
  <si>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Fey</t>
  </si>
  <si>
    <t>You summon a fey creature of challenge rating 6 or lower, or a fey spirit that takes the form of a beast of challenge rating 6 or lower. It appears in an unoccupied space that you can see within range. The fey creature disappears when it drops to 0 hit points or when the spell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</si>
  <si>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</si>
  <si>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</si>
  <si>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</si>
  <si>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spell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</si>
  <si>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</si>
  <si>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</si>
  <si>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</si>
  <si>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spell disappears when it drops to 0 hit points or when the spell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</si>
  <si>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</si>
  <si>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</si>
  <si>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</si>
  <si>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Dexterity saving throw. A creature takes 8d8 damage on a failed save, or half as much damage on a successful one. The damage type is the same as that of the ammunition or weapon.</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</si>
  <si>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</si>
  <si>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</si>
  <si>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spell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</si>
  <si>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</si>
  <si>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</si>
  <si>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spirit of a long-dead sage, or some other mysterious entity from another plane. Contacting this extraplanar intelligence can strain or even break your mind. When you cast this spell, make a DC 15 lntelligence saving throw. On a failure, you take 6d6 psychic damage and are insane until you finish a long rest. While insane, you can't take actions, can't understand what other creatures say, can't read, and speak only in gibberish, A greater restoration spell cast on you ends this effect.\nOn a successful save, you can ask the entity up to five questions. You must ask your questions before the spell ends. The DM answers each question with one word, such as 'yes,' 'no,' 'maybe,' 'never,' 'rrelevant,' or 'unclear' (if the entity doesn't know the answer to the question). If a one-word answer would be misleading, the DM might instead offer a short phrase as an answer.</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</si>
  <si>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</si>
  <si>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</si>
  <si>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</si>
  <si>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spell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spell ends. Since this spell induces a natural disease in its target, any effect that removes a disease or otherwise ameliorates a disease's effects apply to it. Blinding Sickness. Pain grips the creature's mind, and its eyes turn milky white. The creature has disadvantage on Wisdom checks and Wisdom saving throws and is blinded. Filth Fever. A raging fever sweeps through the creature's body. The creature has disadvantage on Strength checks, Strength saving throws, and attack rolls that use Strength. Flesh Rot. The creature's flesh decays. The creature has disadvantage on Charisma checks and vulnerability to all damage. Mindfire. The creature's mind becomes feverish. The creature has disadvantage on Intelligence checks and Intelligence saving throws, and the creature behaves as if under the effects of the confusion spell during combat. Seizure. The creature is overcome with shaking. The creature has disadvantage on Dexterity checks, Dexterity saving throws, and attack rolls that use Dexterity. Slimy Doom. The creature begins to bleed uncontrollably. The creature has disadvantage on Constitution checks and Constitution saving throws. In addition, whenever the creature takes damage, it is stunned until the end of its next turn.</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</si>
  <si>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</si>
  <si>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</si>
  <si>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spell of 5th level or lower that you can cast, that has a casting time of 1 action, and that can target you. You cast that spell (called the contingent spell) as part of casting contingency, expending spell slots for both, but the contingent spell doesn't come into effect. Instead, it takes effect when a certain circumstance occurs. You describe that circumstance when you cast the two spells. For example, a contingency cast with water breathing might stipulate that water breathing comes into effect when you are engulfed in water or a similar liquid. The contingent spell takes effect immediately after the circumstance is met for the first time, whether or not you want it to, and then contingency ends. The contingent spell takes effect only on you, even if it can normally target others. You can use only one contingency spell at a time. If you cast this spell again, the effect of another contingency spell on you ends. Also, contingency ends on you if its material component is ever not on your person.</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</si>
  <si>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</si>
  <si>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</si>
  <si>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</si>
  <si>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 </t>
  </si>
  <si>
    <t>At Higher Levels. You can expend extra mana to increase the effects of the glyph, you deal an additional 2d6 damage for every 3 additional mana expended. </t>
  </si>
  <si>
    <t>At Higher Levels. You can expend extra mana to increase the effects of the glyph, you deal an additional 2d6 damage for every 3 additional mana expended.Â </t>
  </si>
  <si>
    <t>Control Flames</t>
  </si>
  <si>
    <t>Instantaneous or 1 hour (see description)</t>
  </si>
  <si>
    <t>You choose a nonmagical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spell multiple times, you can have up to three non-instantaneous effects created by it active at a time, and you can dismiss such an effect as an action.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</si>
  <si>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</si>
  <si>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</si>
  <si>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spell ends, you control any freestanding water inside an area you choose that is a cube up to 100 feet on a side. You can choose from any of the following effects when you cast this spell.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spell ends or you choose a different effect. If this effect produced a wave, the wave repeats on the start of your next turn while the flood effect lasts. Part Water. You cause water in the area to move apart and create a trench. The trench extends across the spell's area, and the separated water forms a wall to either side. The trench remains until the spell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spell's area, it resumes its flow based on the terrain conditions. The water continues to move in the direction you chose until the spell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spell save DC. When a creature enters the vortex for the first time on a turn or starts its turn there, it must make a Strength saving throw. On a failed save, the creature takes 2d8 bludgeoning damage and is caught in the vortex until the spell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</si>
  <si>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</si>
  <si>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</si>
  <si>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</si>
  <si>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You take control of the weather within 5 miles of you for the duration. You must be outdoors to cast this spell. Moving to a place where you don't have a clear path to the sky ends the spell early. When you cast the spell,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spell ends, the weather gradually returns to normal. When you change the weather conditions, find a current condition on the Control Weather table and change its stage by one, up or down. When changing the wind, you can change its direction.</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</si>
  <si>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</si>
  <si>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</si>
  <si>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spell. The effect lasts for the spell's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</si>
  <si>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</si>
  <si>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Cordon of Arrows</t>
  </si>
  <si>
    <t>5 feet</t>
  </si>
  <si>
    <t>You plant four pieces of nonmagical ammunition (arrows or crossbow bolts) in the ground within range and lay magic upon them to protect an area. Until the spell ends, whenever a creature other than you comes within 30 feet of the ammunition for the first time on a turn or ends its turn there, one piece of ammunition flies up to strike it. The creature must succeed on a Dexterity saving throw or take 1d6 piercing damage. The piece of ammunition is then destroyed. The spell ends when no ammunition remains. When you cast this spell, you can designate any creatures you choose, and the spell ignores them.</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</si>
  <si>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</si>
  <si>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</si>
  <si>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Counterspell</t>
  </si>
  <si>
    <t>1 AP, which you take when you see a creature within 60 feet of you casting a Glyph</t>
  </si>
  <si>
    <t>You attempt to interrupt a creature in the process of casting a spell. If the creature is casting a spell of 3rd level or lower, its spell fails and has no effect. If it is casting a spell of 4th level or higher, make an ability check using your spellcasting ability. The DC equals 10 + the spell's level. On a success, the creature's spell fails and has no effect.</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</si>
  <si>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</si>
  <si>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</si>
  <si>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</si>
  <si>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spell ends, the magic bonfire fills a 5-foot cube. Any creature in the bonfire's space when you cast the spell must succeed on a Dexterity saving throw or take 1d8 fire damage. A creature must also make the saving throw when it moves into the bonfire's space for the first time on a turn or ends its turn there. The bonfire ignites flammable objects in its area that aren't being worn or carried. The spell's damage increases by 1d8 when you reach 5th level (2d8), 11th level (3d8), and 17th level (4d8).</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</si>
  <si>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</si>
  <si>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</si>
  <si>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</si>
  <si>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</si>
  <si>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</si>
  <si>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</si>
  <si>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Mordenkainen's Private Sanctum</t>
  </si>
  <si>
    <t>You make an area within range magically secure. The area is a cube that can be as small as 5 feet to as large as 100 feet on each side. The spell lasts for the duration or until you use an action to dismiss it. When you cast the spell, you decide what sort of security the spell provides, choosing any or all of the following properties: Sound can't pass through the barrier at the edge of the warded area; The barrier of the warded area appears dark and foggy, preventing vision (including darkvision) through it; Sensors created by divination spells can't appear inside the protected area or pass through the barrier at its perimeter; Creatures in the area can't be targeted by divination spells; Nothing can teleport into or out of the warded area; Planar travel is blocked within the warded area. Casting this spell on the same spot every day for a year makes this effect permanent.</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</si>
  <si>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</si>
  <si>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</si>
  <si>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</si>
  <si>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spell only at night. Choose up to three corpses of Medium or Small humanoids within range. Each corpse becomes a ghoul under your control. (The DM has game statistics for these creatures.) As a bonus action on each of your turns, you can mentally command any creature you animated with this spell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spell on the creature before the current 24-hour period ends. This use of the spell reasserts your control over up to three creatures you have animated with this spell, rather than animating new ones.</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</si>
  <si>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</si>
  <si>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</si>
  <si>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</si>
  <si>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</si>
  <si>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spell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spell as another spell's material component causes that spell to fail.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</si>
  <si>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</si>
  <si>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</si>
  <si>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</si>
  <si>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</si>
  <si>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</si>
  <si>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Rime's Binding Ice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</si>
  <si>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</si>
  <si>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</si>
  <si>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</si>
  <si>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Wisdom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spell ends. Also, the target can make a Wisdom saving throw at the end of each of its turns. On a success, the spell ends.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</si>
  <si>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</si>
  <si>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</si>
  <si>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spell ends. You can use a bonus action to send one of the motes streaking toward one creature or object within 120 feet of you. When you do so, make a ranged spell attack. On a hit, the target takes 4d12 radiant damage. Whether you hit or miss, the mote is expended. The spell ends early if you expend the last mote. If you have four or more motes remaining, they shed bright light in a 30-foot radius and dim light for an additional 30 feet. If you have one to three motes remaining, they shed dim light in a 30-foot radius.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</si>
  <si>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</si>
  <si>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</si>
  <si>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</si>
  <si>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spell ends, the aura moves with you, centered on you. While in the aura, each nonhostile creature in the aura (including you) deals an extra 1d4 radiant damage when it hits with a weapon attack.</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</si>
  <si>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</si>
  <si>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</si>
  <si>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</si>
  <si>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</si>
  <si>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spell has no effect on undead or constructs.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</si>
  <si>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</si>
  <si>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</si>
  <si>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</si>
  <si>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spell, and a light winks out if it exceeds the spell's range.</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</si>
  <si>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</si>
  <si>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</si>
  <si>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undead. You decide whether it is a zombie or a skeleton (the statistics for zombies and skeletons are in the Monster Manual), and it gains a bonus to its attack and damage rolls equal to your spellcasting ability modifier. You can use a bonus action to mentally command the creatures you make with this spell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spell ends, after which they become inanimate once more.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</si>
  <si>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</si>
  <si>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</si>
  <si>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</si>
  <si>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spell creates a sphere centered on a point you choose within range. The sphere can have a radius of up to 40 feet. The area within this sphere is filled with magical darkness and crushing gravitational force. For the duration, the spell's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spell that includes a verbal component is impossible there. Any creature that enters the spell's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</si>
  <si>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</si>
  <si>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</si>
  <si>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</si>
  <si>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</si>
  <si>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</si>
  <si>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spell's area overlaps with an area of light created by a spell of 2nd level or lower, the spell that created the light is dispelled.</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</si>
  <si>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</si>
  <si>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</si>
  <si>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</si>
  <si>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Bigby's Hand</t>
  </si>
  <si>
    <t>You create a Large hand of shimmering, translucent force in an unoccupied space that you can see within range. The hand lasts for the spell's duration, and it moves at your command, mimicking the movements of your own hand. The hand is an object that has AC 20 and hit points equal to your hit point maximum. lf it drops to 0 hit points, the spell ends. It has a Strength of 26 (+8) and a Dexterity of 10 (+0). The hand doesn't fill its space. When you cast the spell and as a bonus action on your subsequent turns, you can move the hand up to 60 feet and then cause one of the following effects with it. Clenched Fist. The hand strikes one creature or object within 5 feet of it. Make a melee spell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</si>
  <si>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</si>
  <si>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</si>
  <si>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</si>
  <si>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spell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</si>
  <si>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</si>
  <si>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</si>
  <si>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spell's area overlaps with an area of darkness created by a spell of 3rd level or lower, the spell that created the darkness is dispelled.</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</si>
  <si>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</si>
  <si>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</si>
  <si>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spell ends. If the spell is still in effect when the target is subjected to an effect that would kill it instantaneously without dealing damage, that effect is instead negated against the target, and the spell ends.</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</si>
  <si>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</si>
  <si>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</si>
  <si>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</si>
  <si>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</si>
  <si>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 xml:space="preserve">When you cast this glyph at  tier 2 or higher, you may target one additional creature for each tier above 1st. Additionally, when you cast this glyph at tier 4 or higher, if the creature is immune to the damage they instead take normal damage. </t>
  </si>
  <si>
    <t>Bestow Curse</t>
  </si>
  <si>
    <t>You touch a creature, and that creature must succeed on a Wisdom saving throw or become cursed for the duration of the spell. When you cast this spell, choose the nature of the curse from the following options: Choose one ability score. While cursed, the target has disadvantage on ability checks and saving throws made with that ability score; While cursed, the target has disadvantage on attack rolls against you; While cursed, the target must make a Wisdom saving throw at the start of each of its turns. If it fails, it wastes its action that turn doing nothing; While the target is cursed, your attacks and spells deal an extra 1d8 necrotic damage to the target. A remove curse spell ends this effect. At the DM's option, you may choose an alternative curse effect, but it should be no more powerful than those described above. The DM has final say on such a curse's effect.</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</si>
  <si>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</si>
  <si>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</si>
  <si>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Self (120 feet)</t>
  </si>
  <si>
    <t xml:space="preserve">You harmlessly shunt one corpse from the nearest crypt within range. </t>
  </si>
  <si>
    <t xml:space="preserve">When you cast this at a higher level, you can target a greater number of corpses each time you cast. </t>
  </si>
  <si>
    <t>Delayed Blast Fireball</t>
  </si>
  <si>
    <t>A beam of yellow light flashes from your pointing finger, then condenses to linger at a chosen point within range as a glowing bead for the duration. When the spell ends, either because your concentration is broken or because you decide to end it, the bead blossoms with a low roar into an explosion of flame that spreads around corners. Each creature in a 20-foot-radius sphere centered on that point must make a Dexterity saving throw. A creature takes fire damage equal to the total accumulated damage on a failed save, or half as much damage on a successful one. The spell's base damage is 12d6. If at the end of your turn the bead has not yet detonated, the damage increases by 1d6. If the glowing bead is touched before the interval has expired, the creature touching it must make a Dexterity saving throw. On a failed save, the spell ends immediately, causing the bead to erupt in flame. On a successful save, the creature can throw the bead up to 40 feet. When it strikes a creature or a solid object, the spell ends, and the bead explodes. The fire damages objects in the area and ignites flammable objects that aren't being worn or carried.</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</si>
  <si>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</si>
  <si>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</si>
  <si>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</si>
  <si>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spell ends, the door disappears, and any creatures or objects inside the demiplane remain trapped there, as the door also disappears from the other side. Each time you cast this spell, you can create a new demiplane, or have the shadowy door connect to a demiplane you created with a previous casting of this spell. Additionally, if you know the nature and contents of a demiplane created by a casting of this spell by another creature, you can have the shadowy door connect to its demiplane instead.</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</si>
  <si>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</si>
  <si>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You attempt to douse out the wellspring of another creature. Make a ranged wellspring attack against the creature to assail it. On a hit, the target takes 1d8 void damage, and it can’t regain hit points until the start of your next turn. </t>
  </si>
  <si>
    <t>At Higher Mana Cost. This glyph’s damage increases by 1d8 when you reach 5th level (2d8), 11th level (3d8), and 17th level (4d8). </t>
  </si>
  <si>
    <t>At Higher Mana Cost. This glyphâ€™s damage increases by 1d8 when you reach 5th level (2d8), 11th level (3d8), and 17th level (4d8).Â </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</si>
  <si>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</si>
  <si>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</si>
  <si>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</si>
  <si>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fiend, or undead within 30 feet of you, as well as where the creature is located. Similarly, you know if there is a place or object within 30 feet of you that has been magically consecrated or desecrated. The spell can penetrate most barriers, but it is blocked by 1 foot of stone, 1 inch of common metal, a thin sheet of lead, or 3 feet of wood or dirt.</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</si>
  <si>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</si>
  <si>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</si>
  <si>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spell can penetrate most barriers, but it is blocked by 1 foot of stone, 1 inch of common metal, a thin sheet of lead, or 3 feet of wood or dirt.</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</si>
  <si>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</si>
  <si>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</si>
  <si>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spell can penetrate most barriers, but it is blocked by 1 foot of stone, 1 inch of common metal, a thin sheet of lead, or 3 feet of wood or dirt.</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</si>
  <si>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</si>
  <si>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</si>
  <si>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spell and as your action on each turn until the spell ends, you can focus your mind on any one creature that you can see within 30 feet of you. If the creature you choose has an Intelligence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Wisdom saving throw. If it fails, you gain insight into its reasoning (if any), its emotional state, and something that looms large in its mind (such as something it worries over, loves, or hates). If it succeeds, the spell ends. Either way, the target knows that you are probing into its mind, and unless you shift your attention to another creature's thoughts, the creature can use its action on its turn to make an Intelligence check contested by your Intelligence check; if it succeeds, the spell ends. Questions verbally directed at the target creature naturally shape the course of its thoughts, so this spell is particularly effective as part of an interrogation. You can also use this spell to detect the presence of thinking creatures you can't see. When you cast the spell or as your action during the duration, you can search for thoughts within 30 feet of you. The spell can penetrate barriers, but 2 feet of rock, 2 inches of any metal other than lead, or a thin sheet of lead blocks you. You can't detect a creature with an Intelligence of 3 or lower or one that doesn't speak any languages. Once you detect the presence of a creature in this way, you can read its thoughts for the rest of the duration as described above, even if you can't see it, but it must still be within range.</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</si>
  <si>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</si>
  <si>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</si>
  <si>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spell. If you would arrive in a place already occupied by an object or a creature, you and any creature traveling with you each take 4d6 force damage, and the spell fails to teleport you.</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</si>
  <si>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</si>
  <si>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</si>
  <si>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</si>
  <si>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</si>
  <si>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</si>
  <si>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Augury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</si>
  <si>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spell doesn't take into account any possible circumstances that might change the outcome, such as the casting of additional spells or the loss or gain of a companion. If you cast the spell two or more times before completing your next long rest, there is a cumulative 25 percent chance for each casting after the first that you get a random reading. The DM makes this roll in secret.</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</si>
  <si>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</si>
  <si>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</si>
  <si>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spell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spell fail to hold up to physical inspection. For example, if you use this spell to add a hat to your outfit, objects pass through the hat, and anyone who touches it would feel nothing or would feel your head and hair. If you use this spell to appear thinner than you are, the hand of someone who reaches out to touch you would bump into you while it was seemingly still in midair. To discern that you are disguised, a creature can use its action to inspect your appearance and must succeed on an Intelligence (Investigation) check against your spell save DC.</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</si>
  <si>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</si>
  <si>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</si>
  <si>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spell must make a Dexterity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spell. This spell automatically disintegrates a Large or smaller nonmagical object or a creation of magical force. If the target is a Huge or larger object or creation of force, this spell disintegrates a 10-foot-cube portion of it. A magic item is unaffected by this spell.</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</si>
  <si>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</si>
  <si>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</si>
  <si>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</si>
  <si>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undead, and creatures originating from beyond the Material Plane. For the duration, celestiais, elementals, fey, fiends, and undead have disadvantage on attack rolls against you. You can end the spell early by using either of the following special functions. Break Enchantment. As your action, you touch a creature you can reach that is charmed, frightened, or possessed by a celestial, an elemental, a fey, a fiend, or an undead. The creature you touch is no longer charmed, frightened, or possessed by such creatures. Dismissal. As your action, make a melee spell attack against a celestial, an elemental, a fey, a fiend, or an undead you can reach. On a hit, you attempt to drive the creature back to its home plane. The creature must succeed on a Charisma saving throw or be sent back to its home plane (if it isn't there already). If they aren't on their home plane, undead are sent to the Shadowfell, and fey are sent to the Feywild.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</si>
  <si>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</si>
  <si>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</si>
  <si>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spell of 3rd level or lower on the target ends. For each spell of 4th level or higher on the target, make an ability check using your spellcasting ability. The DC equals 10 + the spell's level. On a successful check, the spell ends.</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</si>
  <si>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</si>
  <si>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</si>
  <si>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</si>
  <si>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Wisdom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</si>
  <si>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</si>
  <si>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</si>
  <si>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</si>
  <si>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</si>
  <si>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spell on an object no more than 1 foot on a side, doubling the object's perceived value by adding illusionary flourish or reducing its perceived value by half with the help of illusionary dents and scratches. Anyone examining the object must roll an Investigation check against your spell DC.</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</si>
  <si>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</si>
  <si>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</si>
  <si>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</si>
  <si>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 xml:space="preserve"> 2 AP</t>
  </si>
  <si>
    <t xml:space="preserve"> 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</si>
  <si>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 xml:space="preserve">When you cast this glyph using a glyph of Tier 6 you may choose one additional affect. When you cast this glyph using a glyph tier of 8 you gain all effects. </t>
  </si>
  <si>
    <t> 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</si>
  <si>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 </t>
  </si>
  <si>
    <t>At Higher Mana Cost: You can expend extra mana to increase the effects of the glyph, you can target an additional creature for every 3 additional mana expended.Â </t>
  </si>
  <si>
    <t>Divine Word</t>
  </si>
  <si>
    <t>You utter a divine word, imbued with the power that shaped the world at the dawn of creation. Choose any number of creatures you can see within range. Each creature that can hear you must make a Charisma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fiend that fails its save is forced back to its plane of origin (if it isn't there already) and can't return to your current plane for 24 hours by any means short of a wish spell.</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</si>
  <si>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</si>
  <si>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</si>
  <si>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Wisdom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</si>
  <si>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</si>
  <si>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</si>
  <si>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</si>
  <si>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Wisdom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</si>
  <si>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</si>
  <si>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</si>
  <si>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</si>
  <si>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Wisdom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Wisdom saving throw against the spell. If the saving throw succeeds, the spell ends.</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</si>
  <si>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</si>
  <si>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</si>
  <si>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Draconic Transformation</t>
  </si>
  <si>
    <t>With a roar, you draw on the magic of dragons to transform yourself, taking on draconic features. You gain the following benefits until the spell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spell, and as a bonus action on subsequent turns for the duration, you can exhale shimmering energy in a 60-foot cone. Each creature in that area must make a Dexterity saving throw, taking 6d8 force damage on a failed save, or half as much damage on a successful one; Wings. Incorporeal wings sprout from your back, giving you a flying speed of 60 feet.</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</si>
  <si>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</si>
  <si>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</si>
  <si>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spell ends, the creature can use an action to exhale energy of the chosen type in a 15-foot cone. Each creature in that area must make a Dexterity saving throw, taking 3d6 damage of the chosen type on a failed save, or half as much damage on a successful one.</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</si>
  <si>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</si>
  <si>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</si>
  <si>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</si>
  <si>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</si>
  <si>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At Higher Mana Cost: You can expend extra mana to increase the effects of the glyph, the damage increases by 1d6 for every 3 additional mana expended.</t>
  </si>
  <si>
    <t>Toll the Dead</t>
  </si>
  <si>
    <t>You point at one creature you can see within range, and the sound of a dolorous bell fills the air around it for a moment. The target must succeed on a Wisdom saving throw or take 1d8 necrotic damage. If the target is missing any of its hit points, it instead takes 1d12 necrotic damage. The spell's damage increases by one die when you reach 5th level (2d8 or 2d12), 11th level (3d8 or 3d12), and 17th level (4d8 or 4d12).</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</si>
  <si>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</si>
  <si>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</si>
  <si>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spell shapes a creature's dreams. Choose a creature known to you as the target of this spell. The target must be on the same plane of existence as you. Creatures that don't sleep, such as elves, can't be contacted by this spell.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spell. The messenger can also shape the environment of the dream, creating landscapes, objects, and other images. The messenger can emerge from the trance at any time, ending the effect of the spell early. The target recalls the dream perfectly upon waking. If the target is awake when you cast the spell, the messenger knows it, and can either end the trance (and the spell) or wait for the target to fall asleep, at which point the messenger appears in the target's dreams. You can make the messenger appear monstrous and terrifying to the target. If you do, the messenger can deliver a message of no more than ten words and then the target must make a Wisdom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</si>
  <si>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</si>
  <si>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</si>
  <si>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</si>
  <si>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</si>
  <si>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spell's duration and experience visions of another world on the Material Plane, such as Oerth, Toril, Krynn, or Eberron. If the spell reaches its full duration, the visions conclude with each of you encountering and pulling back a mysterious blue curtain. The spell then ends with you mentally and physically transported to the world that was in the visions. To cast this spell,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spell if one of the affected creatures was born on the other world, which causes your destination to be a safe location within 1 mile of where that creature was born. The spell ends early on a creature if that creature takes any damage, and the creature isn't transported. If you take any damage, the spell ends for you and all the other creatures, with none of you being transported.</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</si>
  <si>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</si>
  <si>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Leomund's Secret Chest</t>
  </si>
  <si>
    <t>You hide a chest, and all its contents, on the Ethereal Plane. You must touch the chest and the miniature replica that serves as a material component for the spell.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spell's effect ends. This effect ends if you cast this spell again, if the smaller replica chest is destroyed, or if you choose to end the spell as an action. If the spell ends and the larger chest is on the Ethereal Plane, it is irretrievably lost.</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</si>
  <si>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</si>
  <si>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</si>
  <si>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r>
      <rPr>
        <sz val="10"/>
        <color rgb="FF000000"/>
        <rFont val="Bahnschrift"/>
      </rPr>
      <t xml:space="preserve">Your shadow rises to intercept a blow meant for you. You cannot cast this glyph if any portion of the incoming damage is radiant.
When you do, reduce the damage taken by 2d8 + your glyphcasting ability modifier. The amount of damage reduced in this way is stored as </t>
    </r>
    <r>
      <rPr>
        <b/>
        <sz val="10"/>
        <color rgb="FF000000"/>
        <rFont val="Bahnschrift"/>
      </rPr>
      <t xml:space="preserve">shadow charge.
</t>
    </r>
    <r>
      <rPr>
        <sz val="10"/>
        <color rgb="FF000000"/>
        <rFont val="Bahnschrift"/>
      </rPr>
      <t xml:space="preserv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r>
  </si>
  <si>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</si>
  <si>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</si>
  <si>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devil appears in the cube and lasts for the spell's duration. Any creature that ends its turn within 5 feet of the dust devil must make a Strength saving throw. On a failed save, the creature takes 1d8 bludgeoning damage and is pushed 10 feet away from the dust devil. On a successful save, the creature takes half as much damage and isn't pushed. As a bonus action, you can move the dust devil up to 30 feet in any direction. If the dust devil moves over sand, dust, loose dirt, or light gravel, it sucks up the material and forms a 10-foot-radius cloud of debris around itself that lasts until the start of your next turn. The cloud heavily obscures its area.</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</si>
  <si>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</si>
  <si>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</si>
  <si>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</si>
  <si>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Dexterity saving throw. On a failed save, a creature takes 1d6 bludgeoning damage and is knocked prone. If the ground in that area is loose earth or stone, it becomes difficult terrain until cleared, with each 5-foot-diameter portion requiring at least 1 minute to clear by hand.</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</si>
  <si>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</si>
  <si>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</si>
  <si>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spell's duration. An airborne creature affected by this spell safely descends at 60 feet per round until it reaches the ground or the spell ends.</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</si>
  <si>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</si>
  <si>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Maximilian's 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</si>
  <si>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spell's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spell save DC. On a success, the target escapes and is no longer restrained by the hand. As an action, you can cause the hand to reach for a different creature or to move to a different unoccupied space within range. The hand releases a restrained target if you do either.</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</si>
  <si>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</si>
  <si>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</si>
  <si>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spell and at the end of each turn you spend concentrating on it, each creature on the ground in the area must make a Dexterity saving throw. On a failed save, the creature is knocked prone. This spell can have additional effects depending on the terrain in the area, as determined by the DM. Fissures. Fissures open throughout the spell's area at the start of your next turn after you cast the spell. A total of 1d6 such fissures open in locations chosen by the DM. Each is 1d10 x 10 feet deep, 10 feet wide, and extends from one edge of the spell's area to the opposite side. A creature standing on a spot where a fissure opens must succeed on a Dexterity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spell and at the start of each of your turns until the spell ends. If a structure drops to 0 hit points, it collapses and potentially damages nearby creatures. A creature within half the distance of a structure's height must make a Dexterity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</si>
  <si>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</si>
  <si>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</si>
  <si>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</si>
  <si>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spell for its duration. The first time each turn the affected target takes damage of the chosen type, the target takes an extra 2d6 damage of that type. Moreover, the target loses any resistance to that damage type until the spell ends.</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</si>
  <si>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</si>
  <si>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Eldritch Blast</t>
  </si>
  <si>
    <t>A beam of crackling energy streaks toward a creature within range. Make a ranged spell attack against the target. On a hit, the target takes 1d10 force damage. The spell creates more than one beam when you reach higher levels: two beams at 5th level, three beams at 11th level, and four beams at 17th level. You can direct the beams at the same target or at different ones. Make a separate attack roll for each beam.</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</si>
  <si>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</si>
  <si>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 </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</si>
  <si>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 </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</si>
  <si>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</si>
  <si>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</si>
  <si>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</si>
  <si>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</si>
  <si>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</si>
  <si>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</si>
  <si>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</si>
  <si>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</si>
  <si>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spell again. The thought strand appears in an unoccupied space within 5 feet of you as a Tiny, weightless, semisolid object that can be held and carried like a ribbon. It is otherwise stationary. If you cast this spell while concentrating on a spell or an ability that allows you to read or manipulate the thoughts of others (such as detect thoughts or modify memory), you can transform the thoughts or memories you read, rather than your own, into a thought strand. Casting this spell while holding a thought strand allows you to instantly receive whatever memory, idea, or message the thought strand contains (casting detect thoughts on the strand has the same effect).</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</si>
  <si>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</si>
  <si>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</si>
  <si>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</si>
  <si>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Intelligence saving throw. A creature automatically succeeds if it is immune to being frightened. On a failed save, the target loses the ability to distinguish friend from foe, regarding all creatures it can see as enemies until the spell ends. Each time the target takes damage, it can repeat the saving throw, ending the effect on itself on a success. Whenever the affected creature chooses another creature as a target, it must choose the target at random from among the creatures it can see within range of the attack, spell, or other ability it's using. If an enemy provokes an opportunity attack from the affected creature, the creature must make that attack if it is able to.</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</si>
  <si>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</si>
  <si>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</si>
  <si>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Dexterity saving throw. On a successful save, the target takes 2d8 necrotic damage, and the spell ends. On a failed save, the target takes 4d8 necrotic damage, and until the spell ends, you can use your action on each of your turns to automatically deal 4d8 necrotic damage to the target. The spell ends if you use your action to do anything else, if the target is ever outside the spell's range, or if the target has total cover from you. Whenever the spell deals damage to a target, you regain hit points equal to half the amount of necrotic damage the target takes.</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</si>
  <si>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</si>
  <si>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</si>
  <si>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spell ends. Bear's Endurance. The target has advantage on Constitution checks. It also gains 2d6 temporary hit points, which are lost when the spell ends. Bull's Strength. The target has advantage on Strength checks, and their carrying capacity doubles. Cat's Grace. The target has advantage on Dexterity checks. It also doesn't take damage from falling 20 feet or less if it isn't incapacitated. Eagle's Splendor. The target has advantage on Charisma checks. Fox's Cunning. The target has advantage on Intelligence checks. Owl's Wisdom. The target has advantage on Wisdom checks. At Higher Levels. When you cast this spell using a spell slot of 3rd level or higher, you can target one additional creature for each slot level above 2nd.</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</si>
  <si>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</si>
  <si>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</si>
  <si>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 xml:space="preserve">You touch a willing creature and grant them magical wisdom granting advantage on wisdom saving throws and a +3 to wisdom ability checks and saving throws.
</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</si>
  <si>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</si>
  <si>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</si>
  <si>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spell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spell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spell ends, the target also has disadvantage on Strength checks and Strength saving throws. The target's weapons also shrink to match its new size. While these weapons are reduced, the target's attacks with them deal 1d4 less damage (this can't reduce the damage below 1).</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</si>
  <si>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</si>
  <si>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</si>
  <si>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spell ends, a writhing mass of thorny vines appears at the point of impact, and the target must succeed on a Strength saving throw or be restrained by the magical vines until the spell ends. A Large or larger creature has advantage on this saving throw. If the target succeeds on the save, the vines shrivel away. While restrained by this spell, the target takes 1d6 piercing damage at the start of each of its turns. A creature restrained by the vines or one that can touch the creature can use its action to make a Strength check against your spell save DC. On a success, the target is freed.</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</si>
  <si>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</si>
  <si>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</si>
  <si>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</si>
  <si>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</si>
  <si>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spell must succeed on a Strength saving throw or be restrained by the entangling plants until the spell ends. A creature restrained by the plants can use its action to make a Strength check against your spell save DC. On a success, it frees itself. When the spell ends, the conjured plants wilt away.</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</si>
  <si>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</si>
  <si>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</si>
  <si>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Wisdom saving throw. Any creature that can't be charmed succeeds on this saving throw automatically, and if you or your companions are fighting a creature, it has advantage on the save. On a failed save, the target has disadvantage on Wisdom (Perception) checks made to perceive any creature other than you until the spell ends or until the target can no longer hear you. The spell ends if you are incapacitated or can no longer speak.</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</si>
  <si>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</si>
  <si>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Erupting Earth</t>
  </si>
  <si>
    <t>Choose a point you can see on the ground within range. A fountain of churned earth and stone erupts in a 20-foot cube centered on that point. Each creature in that area must make a Dexterity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</si>
  <si>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</si>
  <si>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</si>
  <si>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At higher Mana cost: You can expend extra mana to increase the effects of the glyph, the damage increases by 1d12 for every 3 additional mana expended.</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</si>
  <si>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</si>
  <si>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</si>
  <si>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</si>
  <si>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Clairvoyance</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</si>
  <si>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</si>
  <si>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spell,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</si>
  <si>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</si>
  <si>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</si>
  <si>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spell allows you to move at an incredible pace. When you cast this spell, and then as a bonus action on each of your turns until the spell ends, you can take the Dash action.</t>
  </si>
  <si>
    <t>This glyph allows you to move at an incredible pace. When you cast this glyph, and then as a bonus action on each of your turns until the glyph ends, you can take the Dash action.</t>
  </si>
  <si>
    <t>Eyebite</t>
  </si>
  <si>
    <t>For the spell's duration, your eyes become an inky void imbued with dread power. One creature of your choice within 60 feet of you that you can see must succeed on a Wisdom saving throw or be affected by one of the following effects of your choice for the duration. On each of your turns until the spell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Wisdom saving throw. If it succeeds, the effect ends.</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</si>
  <si>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</si>
  <si>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</si>
  <si>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spell is commensurate with the quality of the raw materiais. Creatures or magic items can't be created or transmuted by this spell. You also can't use it to create items that ordinarily require a high degree of craftsmanship, such as jewelry, weapons, glass, or armor, unless you have proficiency with the type of artisan's tools used to craft such objects.</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</si>
  <si>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</si>
  <si>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</si>
  <si>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spell is cast is also outlined in light if it fails a Dexterity saving throw. For the duration, objects and affected creatures shed dim light in a 10-foot radius. Any attack roll against an affected creature or object has advantage if the attacker can see it, and the affected creature or object can't benefit from being invisible.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</si>
  <si>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</si>
  <si>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</si>
  <si>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</si>
  <si>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</si>
  <si>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</si>
  <si>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spell ends, you can use a bonus action to teleport in this way again.</t>
  </si>
  <si>
    <t>You teleport up to 60 feet to an unoccupied space you can see. On each of your turns before the glyph ends, you can use a bonus action to teleport in this way again.</t>
  </si>
  <si>
    <t>Scrying</t>
  </si>
  <si>
    <t>You can see and hear a particular creature you choose that is on the same plane of existence as you. The target must make a Wisdom saving throw, which is modified by how well you know the target and the sort of physical connection you have to it. If a target knows you're casting this spell, it can fail the saving throw voluntarily if it wants to be observed. On a successful save, the target isn't affected, and you can't use this spell against it again for 24 hours. On a failed save, the spell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spell. When you do, the sensor appears at that location and doesn't move.</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</si>
  <si>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</si>
  <si>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</si>
  <si>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spell, choose one humanoid within range that can see and hear you, and that can understand you. The creature must succeed on a Wisdom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Wisdom saving throw to try to end the effect. This save is made with advantage if you or your companions are fighting the creature. If the activity would result in certain death for the creature, the spell ends. When the spell ends, the creature knows it was charmed by you.</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</si>
  <si>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</si>
  <si>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</si>
  <si>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</si>
  <si>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Wisdom saving throw or drop whatever it is holding and become frightened for the duration. While frightened by this spell, a creature must take the Dash action and move away from you by the safest available route on each of its turns, unless there is nowhere to move. If the creature ends its turn in a location where it doesn't have line of sight to you, the creature can make a Wisdom saving throw. On a successful save, the spell ends for that creature.</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</si>
  <si>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</si>
  <si>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</si>
  <si>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</si>
  <si>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spell ends. If the creature lands before the spell ends, it takes no falling damage and can land on its feel, and the spell ends for that creature.</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</si>
  <si>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</si>
  <si>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</si>
  <si>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Intelligence saving throw. On a failed save, the creature's Intelligence and Charisma scores become 1. The creature can't cast spells, activate magic items, understand language, or communicate in any intelligible way. The creature can, however, identify its friends, follow them, and even protect them. At the end of every 30 days, the creature can repeat its saving throw against this spell. If it succeeds on its saving throw, the spell ends. The spell can also be ended by greater restoration, heal, or wish.</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</si>
  <si>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</si>
  <si>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</si>
  <si>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spell's duration, or until you use an action to touch the target and dismiss the spell, the target appears dead to all outward inspection and to spells used to determine the target's status. The target is blinded and incapacitated, and its speed drops to 0. The target has resistance to all damage except psychic damage. If the target is diseased or poisoned when you cast the spell, or becomes diseased or poisoned while under the spell's effect, the disease and poison have no effect until the spell ends.</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</si>
  <si>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</si>
  <si>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Spirit Shroud</t>
  </si>
  <si>
    <t>You call forth spirits of the dead, which flit around you for the spell's duration. The spirits are intangible and invulnerable. Until the spell ends, any attack you make deals 1d8 extra damage when you hit a creature within 10 feet of you. This damage is radiant, necrotic, or cold (your choice when you cast the spell). Any creature that takes this damage can't regain hit points until the start of your next turn. In addition, any creature of your choice that you can see that starts its turn within 10 feet of you has its speed reduced by 10 feet until the start of your next turn.</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</si>
  <si>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</si>
  <si>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</si>
  <si>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</si>
  <si>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spirit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fiend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spell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spell while you already have a familiar, you instead cause it to adopt a new form. Choose one of the forms from the above list. Your familiar transforms into the chosen creature. Finally, when you cast a spell with a range of touch, your familiar can deliver the spell as if it had cast the spell. Your familiar must be within 100 feet of you, and it must use its reaction to deliver the spell when you cast it. If the spell requires an attack roll, you use your attack modifier for the roll.</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</si>
  <si>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</si>
  <si>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</si>
  <si>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a griffon, a pegasus, a peryton, a dire wolf, a rhinoceros, or a saber-toothed tiger. The creature has the statistics provided in the Monster Manual for the chosen form, though it is a celestial, a fey, or a fiend (your choice) instead of its normal creature type. Additionally, if it has an Intelligence score of 5 or lower, its Intelligence becomes 6, and it gains the ability to understand one language of your choice that you speak. You control the mount in combat. While the mount is within 1 mile of you, you can communicate with it telepathically. While mounted on it, you can make any spell you cast that targets only you also target the mount. The mount disappears temporarily when it drops to 0 hit points or when you dismiss it as an action. Casting this spell again resummons the bonded mount, with all its hit points restored and any conditions removed. You can't have more than one mount bonded by this spell or find steed at the same time. As an action, you can release a mount from its bond, causing it to disappear permanently. Whenever the mount disappears, it leaves behind any objects it was wearing or carrying.</t>
  </si>
  <si>
    <t>You summon a fallen that assumes the form of a loyal, majestic mount. Appearing in an unoccupied space within range, the fallen takes on a form you choose: a griffon, a pegasus, a peryton, a dire wolf, a rhinoceros, or a saber-toothed tiger. The creature has the statistics provided in the Monster Manual for the chosen form, though it is a celestial, a fey, or a Netherkin (your choice) instead of its normal creature type. Additionally, if it has an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</si>
  <si>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</si>
  <si>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such as a warhorse, a pony, a camel, an elk, or a mastiff (your DM might allow other animais to be summoned as steeds). The steed has the statistics of the chosen form, though it is a celestial, fey, or fiend (your choice) instead of its normal type. Additionally, if your steed has an Intelligence of 5 or less, its Intelligence becomes 6, and it gains the ability to understand one language of your choice that you speak. Your steed serves you as a mount, both in combat and out, and you have an instinctive bond with it that allows you to fight as a seamless unit. While mounted on your steed, you can make any spell you cast that targets only you also target your steed. When the steed drops to 0 hit points, it disappears, leaving behind no physical form. You can also dismiss your steed at any time as an action, causing it to disappear. In either case, casting this spell again summons the same steed, restored to its hit point maximum. While your steed is within 1 mile of you, you can communicate with it telepathically. You can't have more than one steed bonded by this spell at a time. As an action, you can release the steed from its bond at any time, causing it to disappear.</t>
  </si>
  <si>
    <t>You summon a fallen that assumes the form of an unusually intelligent, strong, and loyal steed, creating a long-lasting bond with it. Appearing in an unoccupied space within range, the steed takes on a form that you choose, such as a warhorse, a pony, a camel, an elk, or a mastiff (your DM might allow other animais to be summoned as steeds). The steed has the statistics of the chosen form, though it is a celestial, fey, or Netherkin (your choice) instead of its normal type. Additionally, if your steed has an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</si>
  <si>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</si>
  <si>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spell, includes anything that would inflict a sudden or unexpected effect you consider harmful or undesirable, which was specifically intended as such by its creator. Thus, the spell would sense an area affected by the alarm spell, a glyph of warding, or a mechanical pit trap, but it would not reveal a natural weakness in the floor, an unstable ceiling, or a hidden sinkhole. This spell merely reveals that a trap is present. You don't learn the location of each trap, but you do learn the general nature of the danger posed by a trap you sense.</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</si>
  <si>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</si>
  <si>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</si>
  <si>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spell rises at the start of your next turn as a zombie that is permanently under your command, following your verbal orders to the best of its ability.</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</si>
  <si>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</si>
  <si>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</si>
  <si>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spell attack against the target. On a hit, the target takes 1d10 fire damage. A flammable object hit by this spell ignites if it isn't being worn or carried. This spell's damage increases by 1d10 when you reach 5th level (2d10), 11th level (3d10), and 17th level (4d10).</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</si>
  <si>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</si>
  <si>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</si>
  <si>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spell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</si>
  <si>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</si>
  <si>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</si>
  <si>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Dexterity saving throw. It takes 7d10 fire damage on a failed save, or half as much damage on a successful one. The fire damages objects in the area and ignites flammable objects that aren't being worn or carried. If you choose, plant life in the area is unaffected by this spell.</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</si>
  <si>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</si>
  <si>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</si>
  <si>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Dexterity saving throw. A target takes 8d6 fire damage on a failed save, or half as much damage on a successful one. The fire spreads around corners. It ignites flammable objects in the area that aren't being worn or carried.</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</si>
  <si>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</si>
  <si>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</si>
  <si>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</si>
  <si>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</si>
  <si>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</si>
  <si>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</si>
  <si>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spell's magic ends on a piece of ammunition when it hits or misses, and the spell ends when twelve pieces of ammunition have been drawn from the quiver.</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</si>
  <si>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</si>
  <si>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</si>
  <si>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</si>
  <si>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spell attack with the fiery blade. On a hit, the target takes 3d6 fire damage. The flaming blade sheds bright light in a 10-foot radius and dim light for an additional 10 feet.</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</si>
  <si>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</si>
  <si>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</si>
  <si>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</si>
  <si>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Dexterity saving throw. A creature takes 4d6 fire damage and 4d6 radiant damage on a failed save, or half as much damage on a successful one.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</si>
  <si>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</si>
  <si>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</si>
  <si>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</si>
  <si>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Dexterity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</si>
  <si>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</si>
  <si>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Guardian of Faith</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</si>
  <si>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Dexterity saving throw. The creature takes 20 radiant damage on a failed save, or half as much damage on a successful one. The guardian vanishes when it has dealt a total of 60 damage.</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</si>
  <si>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</si>
  <si>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</si>
  <si>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</si>
  <si>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</si>
  <si>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spell must make another Constitution saving throw at the end of each of its turns. If it successfully saves against this spell three times, the spell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spell for the entire possible duration, the creature is turned to stone until the effect is removed.</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</si>
  <si>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</si>
  <si>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Tenser's Floating Disk</t>
  </si>
  <si>
    <t>This spell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spell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spell ends.</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</si>
  <si>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</si>
  <si>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</si>
  <si>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spell. All the familiars conjured by this spell must be the same type of creature (celestials, fey, or fiends; your choice). If you already have a familiar conjured by the Find Familiar spell or similar means, then one fewer familiars are conjured by this spell. Familiars summoned by this spell can telepathically communicate with you and share their visual or auditory senses while they are within 1 mile of you. When you cast a spell with a range of touch, one of the familiars conjured by this spell can deliver the spell, as normal. However, you can cast a touch spell through only one familiar per turn.</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</si>
  <si>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</si>
  <si>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</si>
  <si>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</si>
  <si>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spell ends, the target falls if it is still aloft, unless it can stop the fall.</t>
  </si>
  <si>
    <t>You touch a willing creature. The target gains a flying speed of 60 feet for the duration. When the glyph ends, the target falls if it is still aloft, unless it can stop the fall.</t>
  </si>
  <si>
    <t>Fog Cloud</t>
  </si>
  <si>
    <t xml:space="preserve">You create a 20-foot-radius sphere of fog centered on a point within range. The sphere spreads around corners, and its area is heavily obscured. It lasts for the duration or until a wind of moderate or greater speed (at least 10 miles per hour) disperses it. </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</si>
  <si>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</si>
  <si>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</si>
  <si>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</si>
  <si>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</si>
  <si>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spell, to enter the area. The spell proofs the area against planar travel, and therefore prevents creatures from accessing the area by way of the Astral Plane, Ethereal Plane, Feywild, Shadowfell, or the plane shift spell. In addition, the spell damages types of creatures that you choose when you cast it. Choose one or more of the following: celestials, elementals, fey, fiends, and undead. When a chosen creature enters the spell's area for the first time on a turn or starts its turn there, the creature takes 5d10 radiant or necrotic damage (your choice when you cast this spell). When you cast this spell, you can designate a password. A creature that speaks the password as it enters the area takes no damage from the spell. The spell's area can't overlap with the area of another forbiddance spell. If you cast forbiddance every day for 30 days in the same location, the spell lasts until it is dispelled, and the material components are consumed on the last casting.</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</si>
  <si>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</si>
  <si>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</si>
  <si>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</si>
  <si>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 xml:space="preserve">When you cast this glyph using a tier 2 or higher, its damage increases by 1d12 per tier above 1. </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</si>
  <si>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</si>
  <si>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</si>
  <si>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spells cast into or out from the area. When you cast the spell,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Charisma saving throw. On a success, the creature can use that magic to exit the cage. On a failure, the creature can't exit the cage and wastes the use of the spell or effect. The cage also extends into the Ethereal Plane, blocking ethereal travel. This spell can't be dispelled by dispel magic.</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</si>
  <si>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</si>
  <si>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</si>
  <si>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spell immediately ends if you cast it again before its duration ends.</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</si>
  <si>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</si>
  <si>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</si>
  <si>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</si>
  <si>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spell ends, it can dismiss this spell on itself to roll an additional d20 and choose which of the d20s to use. Alternatively, when an attack roll is made against the chosen creature, it can dismiss this spell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</si>
  <si>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</si>
  <si>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</si>
  <si>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 xml:space="preserve">You touch a willing creature. For the duration, the target's movement is unaffected by difficult terrain, and spells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 </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</si>
  <si>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</si>
  <si>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Otiluke's 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</si>
  <si>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spell save DC to break free. You can refrain from firing the globe after completing the spell,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spell. You can also set the globe down without shattering it. After 1 minute, if the globe hasn't already shattered, it explodes.</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</si>
  <si>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</si>
  <si>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</si>
  <si>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</si>
  <si>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</si>
  <si>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</si>
  <si>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</si>
  <si>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spell's damage increases by 1d6 when you reach 5th level (2d6), 11th level (3d6), and 17th level (4d6).</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</si>
  <si>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</si>
  <si>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</si>
  <si>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</si>
  <si>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 </t>
  </si>
  <si>
    <t>At Higher Mana Cost: You can expend extra mana to increase the effects of the glyph, the damage increases by 1d10 for every 3 additional mana expended.Â </t>
  </si>
  <si>
    <t>Gale</t>
  </si>
  <si>
    <t xml:space="preserve">60 Foot Cone </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</si>
  <si>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</si>
  <si>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</si>
  <si>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Aganazzar's Scorcher</t>
  </si>
  <si>
    <t>A line of roaring flame 30 feet long and 5 feet wide emanates from you in a direction you choose. Each creature in the line must make a Dexterity saving throw. A creature takes 3d8 fire damage on a failed save, or half as much damage on a successful one.</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</si>
  <si>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</si>
  <si>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</si>
  <si>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spell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Dexterity,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spells.</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</si>
  <si>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</si>
  <si>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</si>
  <si>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spell from opening in their presence or anywhere within their domains. When you cast this spell,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</si>
  <si>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</si>
  <si>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Imprisonment</t>
  </si>
  <si>
    <t>You create a magical restraint to hold a creature that you can see within range. The target must succeed on a Wisdom saving throw or be bound by the spell; if it succeeds, it is immune to this spell if you cast it again. While affected by this spell, the creature doesn't need to breathe, eat, or drink, and it doesn't age. Divination spells can't locate or perceive the target. When you cast the spell,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spell is a small mithral orb. Chaining. Heavy chains, firmly rooted in the ground, hold the target in place. The target is restrained until the spell ends, and it can't move or be moved by any means until then. The special component for this version of the spell is a fine chain of precious metal. Hedged Prison. The spell transports the target into a tiny demiplane that is warded against teleportation and planar travel. The demiplane can be a labyrinth, a cage, a tower, or any similar confined structure or area of your choice. The special component for this version of the spell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spell remains in effect. The special component for this version of the spell is a large, transparent gemstone, such as a corundum, diamond, or ruby. Slumber. The target falls asleep and can't be awoken. The special component for this version of the spell consists of rare soporific herbs. Ending the Spell. During the casting of the spell, in any of its versions, you can specify a condition that will cause the spell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spell can end the spell only if it is cast as a 9th-level spell, targeting either the prison or the special component used to create it. You can use a particular special component to create only one prison at a time. If you cast the spell again using the same component, the target of the first casting is immediately freed from its binding.</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</si>
  <si>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</si>
  <si>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</si>
  <si>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 </t>
  </si>
  <si>
    <t>At Higher Levels. When you cast this glyph using a glyph slot of 6th level or higher, the glyph lasts until dissipated.Â </t>
  </si>
  <si>
    <t>Geas</t>
  </si>
  <si>
    <t>30 days</t>
  </si>
  <si>
    <t>You place a magical command on a creature that you can see within range, forcing it to carry out some service or refrain fram some action or course of activity as you decide. If the creature can understand you, it must succeed on a Wisdom saving throw or become charmed by you for the duration. While the creature is charmed by you, it takes 5d10 psychic damage each time it acts in a manner directly counter to your instructions, but no more than once each day. A creature that can't understand you is unaffected by the spell. You can issue any command you choose, short of an activity that would result in certain death. Should you issue a suicidal command, the spell ends. You can end the spell early by using an action to dismiss it. A remove curse, greater restoration, or wish spell also ends it.</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</si>
  <si>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</si>
  <si>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</si>
  <si>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</si>
  <si>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undead. The spell also effectively extends the time limit on raising the target from the dead, since days spent under the influence of this spell don't count against the time limit of spells such as raise dead.</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</si>
  <si>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</si>
  <si>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</si>
  <si>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 </t>
  </si>
  <si>
    <t>At Higher Mana Cost. You can expend extra mana to increase the effects of the glyph, for every 3 additional mana expended the duration of the glyph increases by 1 minute.Â </t>
  </si>
  <si>
    <t>Giant Insect</t>
  </si>
  <si>
    <t xml:space="preserve">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 </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</si>
  <si>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</si>
  <si>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</si>
  <si>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</si>
  <si>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</si>
  <si>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</si>
  <si>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spell,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spell.</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</si>
  <si>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</si>
  <si>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</si>
  <si>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spell ends, when you make a Charisma check, you can replace the number you roll with a 15. Additionally, no matter what you say, magic that would determine if you are telling the truth indicates that you are being truthful.</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</si>
  <si>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</si>
  <si>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</si>
  <si>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spell of 5th level or lower cast from outside the barrier can't affect creatures or objects within it, even if the spell is cast using a higher level spell slot. Such a spell can target creatures and objects within the barrier, but the spell has no effect on them. Similarly, the area within the barrier is excluded from the areas affected by such spells.</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</si>
  <si>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</si>
  <si>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</si>
  <si>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</si>
  <si>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</si>
  <si>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spell,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spell, the glyph is broken, and the spell ends without being triggered. The glyph is nearly invisible and requires a successful Intelligence (Investigation) check against your spell save DC to be found. You decide what triggers the glyph when you cast the spell.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spell ends. You can further refine the trigger so the spell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spell glyph. Explosive Runes. When triggered, the glyph erupts with magical energy in a 20-fool-radius sphere centered on the glyph. The sphere spreads around corners. Each creature in the area must make a Dexterity saving throw. A creature takes 5d8 acid, cold, tire, lightning, or thunder damage on a failed saving throw (your choice when you create the glyph), or half as much damage on a successful one. Spell Glyph. You can store a prepared spell of 3rd level or lower in the glyph by casting it as part of creating the glyph. The spell must target a single creature or an area. The spell being stored has no immediate effect when cast in this way. When the glyph is triggered, the stored spell is cast. If the spell has a target, it targets the creature that triggered the glyph. If the spell affects an area, the area is centered on that creature. If the spell summons hostile creatures or creates harmful objects or traps, they appear as close as possible to the intruder and attack it. If the spell requires concentration, it lasts until the end of its full duration.</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</si>
  <si>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</si>
  <si>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</si>
  <si>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</si>
  <si>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spell.</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</si>
  <si>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</si>
  <si>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</si>
  <si>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</si>
  <si>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 xml:space="preserve">When you cast this glyph using a tier 4 or higher, its damage increases by 1d6 per tier above 3. </t>
  </si>
  <si>
    <t>Grasping Vine</t>
  </si>
  <si>
    <t>You conjure a vine that sprouts from the ground in an unoccupied space of your choice that you can see within range. When you cast this spell, you can direct the vine to lash out at a creature within 30 feet of it that you can see. That creature must succeed on a Dexterity saving throw or be pulled 20 feet directly toward the vine. Until the spell ends, you can direct the vine to lash out at the same creature or another one as a bonus action on each of your turns.</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</si>
  <si>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</si>
  <si>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</si>
  <si>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</si>
  <si>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</si>
  <si>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</si>
  <si>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</si>
  <si>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</si>
  <si>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</si>
  <si>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Dexterity saving throw or fall prone. A creature that enters the area or ends its turn there must also succeed on a Dexterity saving throw or fall prone.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</si>
  <si>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</si>
  <si>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</si>
  <si>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spell ends. Anything the target is wearing or carrying is invisible as long as it is on the target's person.</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</si>
  <si>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</si>
  <si>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</si>
  <si>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</si>
  <si>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</si>
  <si>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spell's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spell's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</si>
  <si>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</si>
  <si>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Tasha's Caustic Brew</t>
  </si>
  <si>
    <t>Self (30-foot line)</t>
  </si>
  <si>
    <t>A stream of acid emanates from you in a line 30 feet long and 5 feet wide in a direction you choose. Each creature in the line must succeed on a Dexterity saving throw or be covered in acid for the spell's duration or until a creature uses its action to scrape or wash the acid off itself or another creature. A creature covered in the acid takes 2d4 acid damage at start of each of its turns.</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</si>
  <si>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</si>
  <si>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</si>
  <si>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</si>
  <si>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spirit answers your call and transforms you into a powerful guardian. The transformation lasts until the spell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Dexterity and Wisdom-based attack rolls with advantage; While you are on the ground, the ground within 15 feet of you is difficult terrain for your enemies.</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</si>
  <si>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</si>
  <si>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Druid Grove</t>
  </si>
  <si>
    <t>You invoke the spirits of nature to protect an area outdoors or underground. The area can be as small as a 30-foot cube or as large as a 90-foot cube. Buildings and other structures are excluded from the affected area. If you cast this spell in the same area every day for a year, the spell lasts until dispelled. The spell creates the following effects within the area. When you cast this spell,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spell's caster chooses which effect to end. Only when all its effects are gone is this spell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spell.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spell ends, the magic animating them disappears, and the trees take root again if possible. Additional Spell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</si>
  <si>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</si>
  <si>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</si>
  <si>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spell. When you cast this spell,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arcane lock spell. In addition, you can cover up to ten doors with an illusion (equivalent to the illusory object function of the minor illusion spell) to make them appear as plain sections of wall. Stairs. Webs fill all stairs in the warded area from top to bottom, as the web spell. These strands regrow in 10 minutes if they are burned or torn away while guards and wards lasts. Other Spell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spell there every day for one year.</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</si>
  <si>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</si>
  <si>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</si>
  <si>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spell ends, the target can roll a d4 and add the number rolled to one ability check of its choice. It can roll the die before or after making the ability check. The spell then ends.</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</si>
  <si>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</si>
  <si>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 </t>
  </si>
  <si>
    <t>At Higher Mana Cost. When you reach 5th level, the bonus die can be added to attack rolls.Â </t>
  </si>
  <si>
    <t>Guiding Bolt</t>
  </si>
  <si>
    <t>A flash of light streaks toward a creature of your choice within range. Make a ranged spell attack against the target. On a hit, the target takes 4d6 radiant damage, and the next attack roll made against this target before the end ofyour next turn has advantage, thanks to the mystical dim light glittering on the target until then.</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</si>
  <si>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</si>
  <si>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</si>
  <si>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</si>
  <si>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</si>
  <si>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</si>
  <si>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spell's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spell ends, you can change the direction in which the line blasts from you.</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</si>
  <si>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</si>
  <si>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</si>
  <si>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spell ends, this spell creates a rain of thorns that sprouts from your ranged weapon or ammunition. In addition to the normal effect of the attack, the target of the attack and each creature within 5 feet of it must make a Dexterity saving throw. A creature takes 1d10 piercing damage on a failed save, or half as much damage on a successful one.</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</si>
  <si>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</si>
  <si>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</si>
  <si>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</si>
  <si>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</si>
  <si>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spell fails if the radius includes an area already under the effect of a hallow spell. The affected area is subject to the following effects. First, celestiais, elementals, fey, fiends, and undead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spell's area for the first time on a turn or starts its turn there, it can make a Charisma saving throw. On a success, the creature ignores the extra effect until it leaves the area. Courage. Affected creatures can't be frightened while in the area; Darkness. Darkness fills the area. Normal light, as well as magical light created by spells of a lower level than the slot you used to cast this spell, can't illuminate the area; Daylight. Bright light fills the area. Magical darkness created by spells of a lower level than the slot you used to cast this spell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</si>
  <si>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</si>
  <si>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</si>
  <si>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Intelligence (Investigation) check against your spell save DC to disbelieve it. A creature who discerns the illusion for what it is, sees it as a vague image superimposed on the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</si>
  <si>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</si>
  <si>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</si>
  <si>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</si>
  <si>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Bless</t>
  </si>
  <si>
    <t>You bless up to three creatures of your choice within range. Whenever a target makes an attack roll or a saving throw before the spell ends, the target can roll a d4 and add the number rolled to the attack roll or saving throw.</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</si>
  <si>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</si>
  <si>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</si>
  <si>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spell ends, the target's speed is doubled, it gains a +2 bonus to AC, it has advantage on Dexterity saving throws, and it gains an additional action on each of its turns. That action can be used only to take the Attack (one weapon attack only), Dash, Disengage, Hide, or Use an Object action. When the spell ends, the target can't move or take actions until after its next turn, as a wave of lethargy sweeps over it.</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</si>
  <si>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</si>
  <si>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</si>
  <si>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spell also ends blindness, deafness, and any diseases affecting the target. This spell has no effect on constructs or undead.</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</si>
  <si>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</si>
  <si>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</si>
  <si>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Spirit</t>
  </si>
  <si>
    <t>You call forth a nature spirit to soothe the wounded. The intangible spirit appears in a space that is a 5-foot cube you can see within range. The spirit looks like a transparent beast or fey (your choice). Until the spell ends, whenever you or a creature you can see moves into the spirit's space for the first time on a turn or starts its turn there, you can cause the spirit to restore 1d6 hit points to that creature (no action required). The spirit can't heal constructs or undead. As a bonus action on your turn, you can move the spirit up to 30 feet to a space you can see.</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</si>
  <si>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</si>
  <si>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</si>
  <si>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</si>
  <si>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spell has no effect on undead or constructs.</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</si>
  <si>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</si>
  <si>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</si>
  <si>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</si>
  <si>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spell. Until the spell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</si>
  <si>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</si>
  <si>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</si>
  <si>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</si>
  <si>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Dexterity saving throw. It takes 2d10 fire damage on a failed save, or half as much damage on a successful one.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</si>
  <si>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</si>
  <si>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</si>
  <si>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Mage Hand</t>
  </si>
  <si>
    <t>A spectral, floating hand appears at a point you choose within range. The hand lasts for the duration or until you dismiss it as an action. The hand vanishes if it is ever more than 30 feet away from you or if you cast this spell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</si>
  <si>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</si>
  <si>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</si>
  <si>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Wisdom saving throws with advantage. Its hit point maximum also increases by 2d10, and it gains the same number of hit points. These benefits last for 24 hours.</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</si>
  <si>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</si>
  <si>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</si>
  <si>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spell ends, the creature is immune to being frightened and gains temporary hit points equal to your spellcasting ability modifier at the start of each of its turns. When the spell ends, the target loses any remaining temporary hit points from this spell.</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</si>
  <si>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</si>
  <si>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Tasha's Hideous Laughter</t>
  </si>
  <si>
    <t>A creature of your choice that you can see within range perceives everything as hilariously funny and falls into fits of laughter if this spell affects it. The target must succeed on a Wisdom saving throw or fall prone, becoming incapacitated and unable to stand up for the duration. A creature with an Intelligence score of 4 or less isn't affected. At the end of each of its turns, and each time it takes damage, the target can make another Wisdom saving throw. The target has advantage on the saving throw if it's triggered by damage. On a success, the spell ends.</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</si>
  <si>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</si>
  <si>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</si>
  <si>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Wisdom saving throw or be paralyzed for the duration. This spell has no effect on undead. At the end of each of its turns, the target can make another Wisdom saving throw. On a success, the spell ends on the target.</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</si>
  <si>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</si>
  <si>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</si>
  <si>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</si>
  <si>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Wisdom saving throw or be paralyzed for the duration. At the end of each of its turns, the target can make another Wisdom saving throw. On a success, the spell ends on the target.</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</si>
  <si>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</si>
  <si>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</si>
  <si>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</si>
  <si>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spell shed dim light in a 5-foot radius and have advantage on all saving throws, and other creatures have disadvantage on attack rolls against them until the spell ends. In addition, when a fiend or an undead hits an affected creature with a melee attack, the aura flashes with brilliant light. The attacker must succeed on a Constitution saving throw or be blinded until the spell ends.</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</si>
  <si>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</si>
  <si>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</si>
  <si>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spell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spell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</si>
  <si>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</si>
  <si>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Mordenkainen's Magnificent Mansion</t>
  </si>
  <si>
    <t>You conjure an extradimensional dwelling in range that lasts for the duration. You choose where its one entrance is located. The entrance shimmers faintly and is 5 feet wide and 10 feet tall. You and any creature you designate when you cast the spell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spell dissipate into smoke if removed from the mansion. When the spell ends, any creatures inside the extradimensional space are expelled into the open spaces nearest to the entrance.</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</si>
  <si>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</si>
  <si>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Hadar</t>
  </si>
  <si>
    <t>You open a gateway to the dark between the stars, a region infested with unknown horrors. A 20-foot-radius sphere of blackness and bitter cold appears, centered on a point with range and lasting for the duration. This void is filled with a cacophony of soft whispers and slurping noises that can be heard up to 30 feet away. No light, magical or otherwise, can illuminate the area, and creatures fully within the area are blinded. The void creates a warp in the fabric of space, and the area is difficult terrain. Any creature that starts its turn in the area takes 2d6 cold damage. Any creature that ends its turn in the area must succeed on a Dexterity saving throw or take 2d6 acid damage as milky, otherworldly tentacles rub against it.</t>
  </si>
  <si>
    <t>You open a gateway to the dark between the stars, a region infested with unknown horrors. A 20-foot-radius sphere of blackness and bitter cold appears, centered on a point with range and lasting for the duration. This void is filled with a cacophony of soft whispers and slurping noises that can be heard up to 30 feet away. No light, magical or otherwise, can illuminate the area, and creatures fully within the area are blinded. The void creates a warp in the fabric of space, and the area is difficult terrain. Any creature that starts its turn in the area takes 2d6 cold damage. Any creature that ends its turn in the area must succeed on a agility saving throw or take 2d6 acid damage as milky, otherworldly tentacles rub against it.</t>
  </si>
  <si>
    <t>Find the Path</t>
  </si>
  <si>
    <t>Up to 1 day</t>
  </si>
  <si>
    <t>This spell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spell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</si>
  <si>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</si>
  <si>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</si>
  <si>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</si>
  <si>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</si>
  <si>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</si>
  <si>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Wisdom saving throw. On a failed save, the creature becomes charmed for the duration. While charmed by this spell, the creature is incapacitated and has a speed of 0. The spell ends for an affected creature if it takes any damage or if someone else uses an action to shake the creature out of its stupor.</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</si>
  <si>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</si>
  <si>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</si>
  <si>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 xml:space="preserve">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 </t>
  </si>
  <si>
    <t xml:space="preserve">When you cast this glyph using a tier 3 or higher, the cold  damage increases by 1d8 per tier above 2. </t>
  </si>
  <si>
    <t>Ice Knife</t>
  </si>
  <si>
    <t>You create a shard of ice and fling it at one creature within range. Make a ranged spell attack against the target. On a hit, the target takes 1d10 piercing damage. Hit or miss, the shard then explodes. The target and each creature within 5 feet of it must succeed on a Dexterity saving throw or take 2d6 cold damage.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</si>
  <si>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</si>
  <si>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</si>
  <si>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</si>
  <si>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Dexterity saving throw. A creature takes 2d8 bludgeoning damage and 4d6 cold damage on a failed save, or half as much damage on a successful one. Hailstones turn the storm's area of effect into difficult terrain until the end of your next turn.</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</si>
  <si>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</si>
  <si>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</si>
  <si>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</si>
  <si>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spell. If it is a magic item or some other magic-imbued object, you learn its properties and how to use them, whether it requires attunement to use, and how many charges it has, if any. You learn whether any spells are affecting the item and what they are. If the item was created by a spell, you learn which spell created it. If you instead touch a creature throughout the casting, you learn what spells, if any, are currently affecting it.</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</si>
  <si>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</si>
  <si>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</si>
  <si>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spell's duration and occupies its space, as if it were a creature. When the illusion appears, any of your enemies that can see it must succeed on a Wisdom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Intelligence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Intelligence (Investigation) check against your spell save DC. If a creature discerns the illusion for what it is, the creature can see through it and has advantage on saving throws against its breath.</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</si>
  <si>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</si>
  <si>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</si>
  <si>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spell,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spell be dispelled, the original script and the illusion both disappear. A creature with truesight can read the hidden message.</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</si>
  <si>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</si>
  <si>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True Strike</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</si>
  <si>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</si>
  <si>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</si>
  <si>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</si>
  <si>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</si>
  <si>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Dexterity saving throw. It takes 8d6 fire damage on a failed save, or half as much damage on a successful one. On a failed save, the target also burns for the spell's duration. The burning target sheds bright light in a 30-foot radius and dim light for an additional 30 feet. At the end of each of its turns, the target repeats the saving throw. It takes 4d6 fire damage on a failed save, and the spell ends on a successful one. These magical flames can't be extinguished by nonmagical means. If damage from this spell kills a target, the target is turned to ash.</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</si>
  <si>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</si>
  <si>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</si>
  <si>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spell can move the object normally. You can also set a password that, when spoken within 5 feet of the object, suppresses this spell for 1 minute. If the object is fixed in the air, it can hold up to 4000 pounds of weight. More weight causes the object to fall. Otherwise, a creature can use an action to make a Strength check against your spell save DC. On a success, the creature can move the object up to 10 feet.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</si>
  <si>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</si>
  <si>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</si>
  <si>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</si>
  <si>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Dexterity saving throw. A creature takes 10d8 fire damage on a failed save, or half as much damage on a successful one. A creature must also make this saving throw when it enters the spell's area for the first time on a turn or ends its turn there. The cloud moves 10 feet directly away from you in a direction that you choose at the start of each of your turns.</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</si>
  <si>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</si>
  <si>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</si>
  <si>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spell's damage increases by 1d6 when you reach 5th level (2d6), 11th level (3d6), and 17th level (4d6).</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</si>
  <si>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</si>
  <si>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</si>
  <si>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spell attack against a creature you can reach. On a hit, the target takes 3d10 necrotic damage.</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</si>
  <si>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</si>
  <si>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</si>
  <si>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spell's area for the first time on a turn or ends its turn there.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</si>
  <si>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</si>
  <si>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</si>
  <si>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</si>
  <si>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</si>
  <si>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</si>
  <si>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</si>
  <si>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Intelligence, Wisdom, and Charisma saving throws.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</si>
  <si>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</si>
  <si>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</si>
  <si>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</si>
  <si>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spell's duration. The flames don't harm you. Until the spell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Dexterity saving throw. A creature takes 4d8 fire damage on a failed save, or half as much damage on a successful one.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</si>
  <si>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</si>
  <si>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</si>
  <si>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spell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</si>
  <si>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</si>
  <si>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</si>
  <si>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spell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Dexterity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spell ends, and you are stunned until the end of your next turn.</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</si>
  <si>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</si>
  <si>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</si>
  <si>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spell ends, wind whirls a round you, and you gain the following benefits: Ranged weapon attacks made against you have disadvantage on the attack roll; You gain a flying speed of 60 feet. If you are still flying when the spell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</si>
  <si>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</si>
  <si>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</si>
  <si>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spell ends. Anything the target is wearing or carrying is invisible as long as it is on the target's person. The spell ends for a target that attacks or casts a spell.</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</si>
  <si>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</si>
  <si>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</si>
  <si>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spell ends.</t>
  </si>
  <si>
    <t>You are immune to all damage until the glyph ends.</t>
  </si>
  <si>
    <t>Snilloc's Snowball Swarm</t>
  </si>
  <si>
    <t>A flurry of magic snowballs erupts from a point you choose within range. Each creature in a 5-foot-radius sphere centered on that point must make a Dexterity saving throw. A creature takes 3d6 cold damage on a failed save, or half as much damage on a successful one.</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</si>
  <si>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</si>
  <si>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</si>
  <si>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</si>
  <si>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</si>
  <si>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spell ends.</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</si>
  <si>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</si>
  <si>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</si>
  <si>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</si>
  <si>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</si>
  <si>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</si>
  <si>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</si>
  <si>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</si>
  <si>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arcane lock, that spell is suppressed for 10 minutes, during which time the target can be opened and shut normally. When you cast the spell, a loud knock, audible from as far away as 300 feet, emanates from the target object.</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</si>
  <si>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</si>
  <si>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 </t>
  </si>
  <si>
    <t>At Higher Mana Cost: You can expend extra mana to increase the effects of the glyph, the damage increases by 1d10 for every 3 additional mana expended.</t>
  </si>
  <si>
    <t>Legend Lore</t>
  </si>
  <si>
    <t>Name or describe a person, place, or object. The spell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spell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</si>
  <si>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</si>
  <si>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</si>
  <si>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</si>
  <si>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</si>
  <si>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spell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spell's range. When the spell ends, the target floats gently to the ground if it is still aloft.</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</si>
  <si>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</si>
  <si>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</si>
  <si>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</si>
  <si>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</si>
  <si>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</si>
  <si>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</si>
  <si>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</si>
  <si>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</si>
  <si>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</si>
  <si>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spell ends, the object sheds bright light in a 20-foot radius and dim light for an additional 20 feet. The light can be colored as you like. Completely covering the object with something opaque blocks the light. The spell ends if you cast it again or dismiss it as an action. If you target an object held or worn by a hostile creature, that creature must succeed on a Dexterity saving throw to avoid the spell.</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</si>
  <si>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</si>
  <si>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</si>
  <si>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spell's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Dexterity saving throw. Each of these creatures takes 2d8 lightning damage on a failed save, or half as much damage on a successful one. The piece of ammunition or weapon then returns to its normal form.</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</si>
  <si>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</si>
  <si>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</si>
  <si>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</si>
  <si>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Dexterity saving throw. A creature takes 8d6 lightning damage on a failed save, or half as much damage on a successful one. The lightning ignites flammable objects in the area that aren't being worn or carried.</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</si>
  <si>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</si>
  <si>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</si>
  <si>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</si>
  <si>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</si>
  <si>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</si>
  <si>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</si>
  <si>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</si>
  <si>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spell's damage increases by 1d8 when you reach 5th level (2d8), 11th level (3d8), and 17th level (4d8).</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</si>
  <si>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</si>
  <si>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</si>
  <si>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300 Feet</t>
  </si>
  <si>
    <r>
      <t xml:space="preserve">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t>
    </r>
    <r>
      <rPr>
        <b/>
        <sz val="8.5"/>
        <color rgb="FF000000"/>
        <rFont val="Arial"/>
        <family val="2"/>
        <charset val="1"/>
      </rPr>
      <t>4d8 + 15 lightning damage</t>
    </r>
    <r>
      <rPr>
        <sz val="8.5"/>
        <color rgb="FF000000"/>
        <rFont val="Arial"/>
        <family val="2"/>
        <charset val="1"/>
      </rPr>
      <t xml:space="preserve">. If the target is not immune to lightning damage, it must succeed on a </t>
    </r>
    <r>
      <rPr>
        <b/>
        <sz val="8.5"/>
        <color rgb="FF000000"/>
        <rFont val="Arial"/>
        <family val="2"/>
        <charset val="1"/>
      </rPr>
      <t>Constitution saving throw</t>
    </r>
    <r>
      <rPr>
        <sz val="8.5"/>
        <color rgb="FF000000"/>
        <rFont val="Arial"/>
        <family val="2"/>
        <charset val="1"/>
      </rPr>
      <t xml:space="preserve"> or be </t>
    </r>
    <r>
      <rPr>
        <b/>
        <sz val="8.5"/>
        <color rgb="FF000000"/>
        <rFont val="Arial"/>
        <family val="2"/>
        <charset val="1"/>
      </rPr>
      <t>knocked prone and paralyzed</t>
    </r>
    <r>
      <rPr>
        <sz val="8.5"/>
        <color rgb="FF000000"/>
        <rFont val="Arial"/>
        <family val="2"/>
        <charset val="1"/>
      </rPr>
      <t xml:space="preserve"> for the duration. The target may repeat the saving throw at the end of each of its turns, ending the effect on a success. On a miss, the target takes </t>
    </r>
    <r>
      <rPr>
        <b/>
        <sz val="8.5"/>
        <color rgb="FF000000"/>
        <rFont val="Arial"/>
        <family val="2"/>
        <charset val="1"/>
      </rPr>
      <t>half as much damage</t>
    </r>
    <r>
      <rPr>
        <sz val="8.5"/>
        <color rgb="FF000000"/>
        <rFont val="Arial"/>
        <family val="2"/>
        <charset val="1"/>
      </rPr>
      <t xml:space="preserve"> and suffers no other effects.</t>
    </r>
  </si>
  <si>
    <t>When you cast this glyph using a glyph of Tier 10 or higher, the damage increases by 2d8 for each tier above 9.</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</si>
  <si>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</si>
  <si>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</si>
  <si>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</si>
  <si>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spell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spell, this spell doesn't locate the creature. This spell can't locate a creature if running water at least 10 feet wide blocks a direct path between you and the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</si>
  <si>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</si>
  <si>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</si>
  <si>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spell can locate a specific object known to you, as long as you have seen it up close - within 30 feet - at least once, Alternatively, the spell can locate the nearest object of a particular kind, such as a certain kind of apparel, jewelry, furniture, tool, or weapon. This spell can't locate an object if any thickness of lead, even a thin sheet, blocks a direct path between you and the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</si>
  <si>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</si>
  <si>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</si>
  <si>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spell ends.</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</si>
  <si>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</si>
  <si>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</si>
  <si>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</si>
  <si>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</si>
  <si>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</si>
  <si>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spell ends. The darkness spreads around corners. A creature with darkvision can't see through this darkness. Nonmagical light, as well as light created by spells of 8th level or lower, can't illuminate the area. Shrieks, gibbering, and mad laughter can be heard within the sphere. Whenever a creature starts its turn in the sphere, it must make a Wisdom saving throw, taking 8d8 psychic damage on a failed save, or half as much damage on a successful one.</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</si>
  <si>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</si>
  <si>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</si>
  <si>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spell ends, that area is difficult terrain, and any creature that starts its turn there must succeed on a Strength saving throw or take 6d6 bludgeoning damage and be pulled 10 feet toward the center.</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</si>
  <si>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</si>
  <si>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</si>
  <si>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fiends, or undead. The circle affects a creature of the chosen type in the following ways: The creature can't willingly enter the cylinder by nonmagical means. If the creature tries to use teleportation or interplanar travel to do so, it must first succeed on a Charisma saving throw; The creature has disadvantage on attack rolls against targets within the cylinder; Targets within the cylinder can't be charmed, frightened, or possessed by the creature. When you cast this spell, you can elect to cause its magic to opera to in the reverse direction, preventing a creature of the specified type from leaving the cylinder and protecting targets outside it.</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</si>
  <si>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</si>
  <si>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</si>
  <si>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</si>
  <si>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</si>
  <si>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</si>
  <si>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</si>
  <si>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spell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spell, you can have the spell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</si>
  <si>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</si>
  <si>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</si>
  <si>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spell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spell then ends on the stone. If you cast this spell again, the spell ends on any pebbles still affected by your previous casting.</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</si>
  <si>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</si>
  <si>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</si>
  <si>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spell ends, that weapon becomes a magic weapon with a +1 bonus to attack rolls and damage rolls.</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</si>
  <si>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</si>
  <si>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</si>
  <si>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(Necrotic):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</si>
  <si>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 </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</si>
  <si>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 </t>
  </si>
  <si>
    <t>Magnify Gravity</t>
  </si>
  <si>
    <t>The gravity in a 10-foot-radius sphere centered on a point you can see within range increases for a moment. Each creature in the sphere on the turn when you cast the spell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spell save DC to pick up or move.</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</si>
  <si>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</si>
  <si>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</si>
  <si>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Intelligence (Investigation) check against your spell save DC. If a creature discerns the illusion for what it is, the creature can see through the image, and its other sensory qualities become faint to the creature.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</si>
  <si>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</si>
  <si>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</si>
  <si>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 </t>
  </si>
  <si>
    <t>At Higher Levels. You can expend extra mana to increase the effects of the glyph, you can seed another tree within range for every 3 additional mana expended. </t>
  </si>
  <si>
    <t>At Higher Levels. You can expend extra mana to increase the effects of the glyph, you can seed another tree within range for every 3 additional mana expended.Â </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</si>
  <si>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</si>
  <si>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</si>
  <si>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1 AP, spent when a creature within range casts a glyph</t>
  </si>
  <si>
    <t xml:space="preserve">You attempt to cause a caster's mana to thicken while they cast. The affected caster must make a Constitution saving throw, or delay their casting for a round and waste any expended AP. </t>
  </si>
  <si>
    <t>Drawmij's Instant Summons</t>
  </si>
  <si>
    <t>You touch an object weighing 10 pounds or less whose longest dimension is 6 feet or less. The spell leaves an invisible mark on its surface and invisibly inscribes the name of the item on the sapphire you use as the material component. Each time you cast this spell, you must use a different sapphire. At any time thereafter, you can use your action to speak the item's name and crush the sapphire. The item instantly appears in your hand regardless of physical or planar distances, and the spell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spell's effect.</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</si>
  <si>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</si>
  <si>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Galder's Tower</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</si>
  <si>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spell: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spell’s duration, all creatures and objects within the tower that were not created by the spell appear safely outside on the ground, and all traces of the tower and its furnishings disappear. You can cast this spell again while it is active to maintain the tower’s existence for another 24 hours. You can create a permanent tower by casting this spell in the same location and with the same configuration every day for one year.</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</si>
  <si>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</si>
  <si>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</si>
  <si>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</si>
  <si>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spell has no effect on undead or constructs.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</si>
  <si>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</si>
  <si>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</si>
  <si>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</si>
  <si>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spell are also cured of all diseases and any effect making them blinded or deafened. This spell has no effect on undead or constructs.</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</si>
  <si>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</si>
  <si>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</si>
  <si>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spell has no effect on undead or constructs.</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</si>
  <si>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</si>
  <si>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</si>
  <si>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</si>
  <si>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Wisdom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spell ends before then, the creature loses all its temporary hit points and reverts to its normal form. The creature is limited in the actions it can perform by the nature of its new form. It can't speak, cast spells, or do a nything else that requires hands or speech. The target's gear melds into the new form. The target can't activate, use, wield, or otherwise benefit from any of its equipment.</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</si>
  <si>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</si>
  <si>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</si>
  <si>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spell. Each target must make a Wisdom saving throw. On a failed save, it pursues the course of action you described to the best of its ability. The suggested course of action can continue for the entire duration. If the suggested activity can be completed in a shorter time, the spell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spell ends, the activity isn't performed. If you or any of your companions damage a creature affected by this spell, the spell ends for that creature.</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</si>
  <si>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</si>
  <si>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</si>
  <si>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</si>
  <si>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Intelligence check. If it succeeds, it escapes, and the spell ends (a minotaur or goristro demon automatically succeeds). When the spell ends, the target reappears in the space it left or, if that space is occupied, in the nearest unoccupied space.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</si>
  <si>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</si>
  <si>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</si>
  <si>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Wisdom (Perception) checks you make to hear sounds outside it are made with disadvantage. You remain aware of the passage of time and can cast spells on yourself while merged in the stone. You can use your movement to leave the stone where you entered it, which ends the spell.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</si>
  <si>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</si>
  <si>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</si>
  <si>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spell repairs a single break or tear in an object you touch, such as a broken chain link, two halves of a broken key, a torn cloak, or a leaking wineskin. As long as the break or tear is no larger than 1 foot in any dimension, you mend it, leaving no trace of the former damage. This spell can physically repair a magic item or construct, but the spell can't restore magic to such an object.</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</si>
  <si>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</si>
  <si>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</si>
  <si>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Intelligence saving throw. The target succeeds automatically if it is immune to being charmed. On a successful save, the target takes 5d10 psychic damage, and the spell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spell's duration. If the target is moved out of the illusion, makes a melee attack through it, or reaches any part of its body through it, the target takes 10d10 psychic damage, and the spell ends.</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</si>
  <si>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</si>
  <si>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</si>
  <si>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spell through solid objects if you are familiar with the target and know it is beyond the barrier. Magical silence, 1 foot of stone, 1 inch of common metal, a thin sheet of lead, or 3 feet of wood blocks the spell. The spell doesn't have to follow a straight line and can travel freely around corners or through openings.</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</si>
  <si>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</si>
  <si>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Melf's Minute Meteors</t>
  </si>
  <si>
    <t>You create six tiny meteors in your space. They float in the air and orbit you for the spell's duration. When you cast the spell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Dexterity saving throw. A creature takes 2d6 fire damage on a failed save, or half as much damage on a successful one.</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</si>
  <si>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</si>
  <si>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</si>
  <si>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</si>
  <si>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Dexterity saving throw. The sphere spreads around corners. A creature takes 20d6 fire damage and 20d6 bludgeoning damage on a failed save, or half as much damage on a successful one. A creature in the area of more than one fiery burst is affected only once. The spell damages objects in the area and ignites flammable objects that aren't being worn or carried.</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</si>
  <si>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</si>
  <si>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</si>
  <si>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spell crumble to dust if removed from the fortress. A staff of one hundred invisible servants obeys any command given to them by creatures you designate when you cast the spell. Each servant functions as if created by the unseen servant spell.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spell somewhere else, the fortress harmlessly crumbles and sinks back into the ground, leaving any creatures that were inside it safely on the ground. Casting this spell on the same spot once every 7 days for a year makes the fortress permanent.</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</si>
  <si>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</si>
  <si>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</si>
  <si>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spell ends, one willing creature you touch is immune to psychic damage, any effect that would sense its emotions or read its thoughts, divination spells, and the charmed condition. The spell even foils wish spells and spells or effects of similar power used to affect the target's mind or to gain information about the target.</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</si>
  <si>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</si>
  <si>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</si>
  <si>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</si>
  <si>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</si>
  <si>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 xml:space="preserve">When you cast this glyph using a tier 6 or higher, the psychic and poison damage increases by 1d6 per tier above 5. </t>
  </si>
  <si>
    <t xml:space="preserve">You project a psychic spike into the mind of one creature within range. The target must make an Mind saving throw. On a failed save, it takes 1d6 psychic damage and suffers disadvantage on its next attack roll before the end of its next turn. </t>
  </si>
  <si>
    <t>At Higher Mana Cost. The damage increases by 1d6 at 5th level (2d6), 11th level (3d6), and 17th level (4d6).</t>
  </si>
  <si>
    <t>Mind Sliver</t>
  </si>
  <si>
    <t>You drive a disorienting spike of psychic energy into the mind of one creature you can see within range. The target must succeed on an Intelligence saving throw or take 1d6 psychic damage and subtract 1d4 from the next saving throw it makes before the end of your next turn. This spell's damage increases by 1d6 when you reach certain levels: 5th level (2d6), 11th level (3d6), and 17th level (4d6).</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</si>
  <si>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</si>
  <si>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</si>
  <si>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Wisdom saving throw, taking 3d8 psychic damage on a failed save, or half as much damage on a successful one. On a failed save, you also always know the target's location until the spell ends, but only while the two of you are on the same plane of existence. While you have this knowledge, the target can't become hidden from you, and if it's invisible, it gains no benefit from that condition against you.</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</si>
  <si>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</si>
  <si>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</si>
  <si>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spell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spell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Intelligence (Investigation) check against your spell save DC. If a creature discerns the illusion for what it is, the illusion becomes faint to the creature.</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</si>
  <si>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</si>
  <si>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</si>
  <si>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</si>
  <si>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spell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spell's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</si>
  <si>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</si>
  <si>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</si>
  <si>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spell ends, the duplicates move with you and mimic your actions, shifting position so it's impossible to track which image is real. You can use your action to dismiss the illusory duplicates. Each time a creature targets you with an attack during the spell's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Dexterity modifier. If an attack hits a duplicate, the duplicate is destroyed. A duplicate can be destroyed only by an attack that hits it. It ignores all other damage and effects. The spell ends when all three duplicates are destroyed. A creature is unaffected by this spell if it can't see, if it relies on senses other than sight, such as blindsight, or if it can perceive illusions as false, as with truesight.</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</si>
  <si>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</si>
  <si>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</si>
  <si>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spell.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</si>
  <si>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</si>
  <si>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</si>
  <si>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</si>
  <si>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</si>
  <si>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Wisdom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spell, this spell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spell ends before you have finished describing the modified memories, the creature's memory isn't altered. Otherwise, the modified memories take hold when the spell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spell cast on the target restores the creature's true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</si>
  <si>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</si>
  <si>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</si>
  <si>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</si>
  <si>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spell multiple times, you can have no more than two of its non-instantaneous effects active at a time, and you can dismiss such an effect as an action.</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</si>
  <si>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</si>
  <si>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 </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</si>
  <si>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</si>
  <si>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</si>
  <si>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spell ends, dim light fills the cylinder. When a creature enters the spell's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spell's light. On each of your turns after you cast this spell, you can use an action to move the beam 60 feet in any direction.</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</si>
  <si>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</si>
  <si>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</si>
  <si>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</si>
  <si>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Wisdom saving throws. If an affected creature is hit by an attack, it has advantage on the next attack roll it makes. Once an affected creature loses the temporary hit points granted by this spell, the spell ends for that creature.</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</si>
  <si>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</si>
  <si>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</si>
  <si>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</si>
  <si>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</si>
  <si>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spell, you can choose a new area of terrain to affect. Because the terrain's transformation occurs slowly, creatures in the area can't usually be trapped or injured by the ground's movement. This spell can't manipulate natural stone or stone construction. Rocks and structures shift to accommodate the new terrain. If the way you shape the terrain would make a structure unstable, it might collapse. Similarly, this spell doesn't directly affect plant growth. The moved earth carries any plants along with it.</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</si>
  <si>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</si>
  <si>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Ashardalon's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</si>
  <si>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</si>
  <si>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</si>
  <si>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Shilleleghgh</t>
  </si>
  <si>
    <t>The wood of a club or quarterstaff you are holding is imbued with nature's power. For the duration, you can use your spellcasting ability instead of Strength for the attack and damage rolls of melee attacks using that weapon, and the weapon's damage die becomes a d8. The weapon also becomes magical, if it isn't already. The spell ends if you cast it again or if you let go of the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</si>
  <si>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 </t>
  </si>
  <si>
    <t>At Higher Mana Cost: As you level up, the power of this glyph increases; At 5th level you can apply the weapon’s mastery property, and at 11th level, the weapon does an additional die of damage. </t>
  </si>
  <si>
    <t>At Higher Mana Cost: As you level up, the power of this glyph increases; At 5th level you can apply the weaponâ€™s mastery property, and at 11th level, the weapon does an additional die of damage.Â </t>
  </si>
  <si>
    <t>Druidcraft</t>
  </si>
  <si>
    <t>Whispering to the spirits of nature, you create one of the following effects within range: You create a tiny, harmless sensory effect that predicts what the weather will be at your location for the next 24 hours. The effect might manifest as a golden orb for clear skies, a cloud for rain, falling snowflakes for snow, and so on. This effect persists for 1 round; You instantly make a flower blossom, a seed pod open, or a leaf bud bloom; You create an instantaneous, harmless sensory effect, such as falling leaves, a puff of wind, the sound of a small animal, or the faint odor of skunk. The effect must fit in a 5-foot cube; You instantly light or snuff out a candle, a torch, or a small campfire.</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</si>
  <si>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</si>
  <si>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</si>
  <si>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</si>
  <si>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</si>
  <si>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undead, it must make a Constitution saving throw, taking 5d12 necrotic damage on a failed save, or half as much damage on a successful one. A target killed by this damage rises up as a zombie at the start of your next turn. The zombie pursues whatever creature it can see that is closest to it. Statistics for the zombie are in the Monster Manual. If you target an undead with this spell, the target doesn't make a saving throw. Instead, roll 5d12. The target gains half the total as temporary hit points.</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</si>
  <si>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</si>
  <si>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Arms of Hadar</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</si>
  <si>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</si>
  <si>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Mordenkainen's Sword</t>
  </si>
  <si>
    <t>You create a sword-shaped plane of force that hovers within range. It lasts for the duration. When the sword appears, you make a melee spell attack against a target of your choice within 5 feet of the sword. On a hit, the target takes 3d10 force damage. Until the spell ends, you can use a bonus action on each of your turns to move the sword up to 20 feet to a spot you can see and repeat this attack against the same target or a different one.</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</si>
  <si>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</si>
  <si>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Tenser's Transformation</t>
  </si>
  <si>
    <t>You endow yourself with endurance and martial prowess fueled by magic. Until the spell ends, you can't cast spells, and you gain the following benefits: You gain 50 temporary hit points. If any of these remain when the spell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spell ends, you must succeed on a DC 15 Constitution saving throw or suffer one level of exhaustion.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</si>
  <si>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</si>
  <si>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</si>
  <si>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divination magic. The target can be a willing creature or a place or an object no larger than 10 feet in any dimension. The target can't be targeted by any divination magic or perceived through magical scrying sensors.</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</si>
  <si>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</si>
  <si>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Spirit Guardians</t>
  </si>
  <si>
    <t>You call forth spirits to protect you. They flit around you to a distance of 15 feet for the duration. If you are good or neutral, their spectral form appears angelic or fey (your choice). If you are evil, they appear fiendish. When you cast this spell, you can designate any number of creatures you can see to be unaffected by it. An affected creature's speed is halved in the area, and when the creature enters the area for the first time on a turn or starts its turn there, it must make a Wisdom saving throw. On a failed save, the creature takes 3d8 radiant damage (if you are good or neutral) or 3d8 necrotic damage (if you are evil). On a successful save, the creature takes half as much damage.</t>
  </si>
  <si>
    <t>You call forth spirits to protect you. They flit around you to a distance of 15 feet for the duration. If you are good or neutral, their spectral form appears angelic or fey (your choice). If you are evil, they appear fiendish.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radiant damage (if you are good or neutral) or 3d8 necrotic damage (if you are evil). On a successful save, the creature takes half as much damage.</t>
  </si>
  <si>
    <t>Abi-Dalzim's Horrid Wilting</t>
  </si>
  <si>
    <t>You draw the moisture from every creature in a 30-foot cube centered on a point you choose within range. Each creature in that area must make a Constitution saving throw. Constructs and undead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</si>
  <si>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</si>
  <si>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</si>
  <si>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</si>
  <si>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Tasha's Otherworldly Guise</t>
  </si>
  <si>
    <t>Uttering an incantation, you draw on the magic of the Lower Planes or Upper Planes (your choice) to transform yourself. You gain the following benefits until the spell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Dexterity, for the attack and damage rolls; You can attack twice, instead of once, when you take the Attack action on your turn. You ignore this benefit if you already have a feature, like Extra Attack, that lets you attack more than once when you take the Attack action on your turn.</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</si>
  <si>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</si>
  <si>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Otto's Irresistible Dance</t>
  </si>
  <si>
    <t>Choose one creature that you can see within range. The target begins a comic dance in place: shuffling, tapping its feet, and capering for the duration. Creatures that can't be charmed are immune to this spell. A dancing creature must use all its movement to dance without leaving its space and has disadvantage on Dexterity saving throws and attack rolls. While the target is affected by this spell, other creatures have advantage on attack rolls against it. As an action, a dancing creature makes a Wisdom saving throw to regain control of itself. On a successful save, the spell ends.</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</si>
  <si>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</si>
  <si>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</si>
  <si>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Dexterity (Stealth) checks and can't be tracked except by magical means. A creature that receives this bonus leaves behind no tracks or other traces of its passage.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</si>
  <si>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</si>
  <si>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</si>
  <si>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spell are safely ejected to an unoccupied space nearest to the surface on which you cast the spell.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</si>
  <si>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</si>
  <si>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</si>
  <si>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Intelligence saving throw. On a failed save, you create a phantasmal object, creature, or other visible phenomenon of your choice that is no larger than a 10-foot cube and that is perceivable only to the target for the duration. This spell has no effect on undead or constructs. The phantasm includes sound, temperature, and other stimuli, also evident only to the creature. The target can use its action to examine the phantasm with an Intelligence (Investigation) check against your spell save DC. If the check succeeds, the target realizes that the phantasm is an illusion, and the spell ends. While a target is affected by the spell,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</si>
  <si>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</si>
  <si>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</si>
  <si>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Wisdom saving throw. On a failed save, the target becomes frightened for the duration. At the start of each of the target's turns before the spell ends, the target must succeed on a Wisdom saving throw or take 4d10 psychic damage. On a successful save, the spell ends.</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</si>
  <si>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</si>
  <si>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</si>
  <si>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spell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spell ends, the steed gradually fades, giving the rider 1 minute to dismount. The spell ends if you use an action to dismiss it or if the steed takes any damage.</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</si>
  <si>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</si>
  <si>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Mordenkainen's Faithful Hound</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</si>
  <si>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spell,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</si>
  <si>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</si>
  <si>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</si>
  <si>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</si>
  <si>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</si>
  <si>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spell, you attempt to bind a celestial, an elemental, a fey, or a fiend to your service. The creature must be within range for the entire casting of the spell (typically, the creature is first summoned into the center of an inverted magie circle in order to keep it trapped while this spell is cast). At the completion of the casting, the target must make a Charisma saving throw. On a failed save, it is bound to serve you for the duration. If the creature was summoned or created by another spell, that spell's duration is extended to match the duration of this spell.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spell ends, it travels to you to report this fact if you are on the same plane of existence. If you are on a different plane of existence, it returns to the place where you bound it and remains there until the spell ends.</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</si>
  <si>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</si>
  <si>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</si>
  <si>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</si>
  <si>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spell can take you to that circle. If the teleportation circle is too small to hold all the creatures you transported, they appear in the closest unoccupied spaces next to the circle. You can use this spell to banish an unwilling creature to another plane. Choose a creature within your reach and make a melee spell attack against it. On a hit, the creature must make a Charisma saving throw. If the creature fails this save, it is transported to a random location on the plane of existence you specify. A creature so transported must find its own way back to your current plane of existence.</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</si>
  <si>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</si>
  <si>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</si>
  <si>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</si>
  <si>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spell channels vitality into plants within a specific area. There are two possible uses for the spell, granting either immediate or long-term benefits. If you cast this spell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spell's area from being affected. If you cast this spell over 8 hours, you enrich the land. All plants in a half-mile radius centered on a point within range become enriched for 1 year. The plants yield twice the normal amount of food when harvested.</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</si>
  <si>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</si>
  <si>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</si>
  <si>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spell's damage increases by 1d12 when you reach 5th level (2d12), 11th level (3d12), and 17th level (4d12).</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</si>
  <si>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</si>
  <si>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</si>
  <si>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spell transforms a creature that you can see within range into a new form. An unwilling creature must make a Wisdom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spells, or take any other action that requires hands or speech. The target's gear melds into the new form. The creature can't activate, use, wield, or otherwise benefit from any of its equipment.</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</si>
  <si>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</si>
  <si>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</si>
  <si>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spell has no effect on undead or constructs.</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</si>
  <si>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</si>
  <si>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</si>
  <si>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spell has no effect.</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</si>
  <si>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</si>
  <si>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</si>
  <si>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spell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spell, it must first succeed on a Constitution saving throw, or the casting fails and the spell is wasted. A target suffering this pain can make a Constitution saving throw at the end of each of its turns. On a successful save, the pain ends.</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</si>
  <si>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</si>
  <si>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</si>
  <si>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spell has no effect. The stunned target must make a Constitution saving thraw at the end of each of its turns. On a successful save, this stunning effect ends.</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</si>
  <si>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</si>
  <si>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</si>
  <si>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spell has no effect on undead or constructs.</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</si>
  <si>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</si>
  <si>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</si>
  <si>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</si>
  <si>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</si>
  <si>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</si>
  <si>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</si>
  <si>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spell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spell multiple times, you can have up to three of its non-instantaneous effects active at a time, and you can dismiss such an effect as an action.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</si>
  <si>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</si>
  <si>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</si>
  <si>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spell attack against one creature within 5 feet of you. On a hit, the target takes 1d10 acid damage. After you make the attack, your teeth or fingernails return to normal. The spell's damage increases by 1d10 when you reach 5th level (2d10), 11th level (3d10), and 17th level (4d10).</t>
  </si>
  <si>
    <t xml:space="preserve">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 </t>
  </si>
  <si>
    <t>The glyph's damage increases by 1d10 when you reach 5th level (2d10), 11th level (3d10), and 17th level (4d10).</t>
  </si>
  <si>
    <t>Primordial Ward</t>
  </si>
  <si>
    <t>You have resistance to acid, cold, fire, lightning, and thunder damage for the spell's duration. When you take damage of one of those types, you can use your reaction to gain immunity to that type of damage, including against the triggering damage. If you do so, the resistances end, and you have the immunity until the end of your next turn, at which time the spell ends.</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</si>
  <si>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</si>
  <si>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</si>
  <si>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Dexterity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spell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Wisdom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Astral or Ethereal planes); 8 - Special: The target is struck by two rays. Roll twice more, rerolling any 8.</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</si>
  <si>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</si>
  <si>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</si>
  <si>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spell fails, and your action and the spell slot are wasted. The wall sheds bright light out to a range of 100 feet and dim light for an additional 100 feet. You and creatures you designate at the time you cast the spell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Dexterity saving throw or be affected by that layer's properties as described below. The wall can be destroyed, also one layer at a time, in order from red to violet, by means specific to each layer. Once a layer is destroyed, it remains so for the duration of the spell.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spell, or another spell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spell ends. If it fails its save three times, it permanently turns to stone and is subjected to the petrified condition. The successes and failures don't need to be consecutive, keep track of both until the creature collects three of a kind. While this layer is in place, spells can't be cast through the wall. The layer is destroyed by bright light shed by a daylight spell or a similar spell of equal or higher level; 7 - Violet: On a failed save, the creature is blinded. It must then make a Wisdom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Astral or Ethereal planes). This layer is destroyed by a dispel magic spell or a similar spell of equal or higher level that can end spells and magical effects.</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</si>
  <si>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</si>
  <si>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</si>
  <si>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spell ends if you dismiss it as an action or if you cast it again. You can also attack with the flame, although doing so ends the spell. Wheo you cast this spell, or as an action on a later turn, you can hurl the flame at a creature within 30 feet of you. Make a ranged spell attack. On a hit, the target takes 1d8 fire damage. This spell's damage increases by 1d8 when you reach 5th level (2d8), 11th levei (3d8), and 17th level (4d8).</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</si>
  <si>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</si>
  <si>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</si>
  <si>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spell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Intelligence (Investigation) check against your spell save DC. If a creature discerns the illusion for what it is, the creature can see through the image, and any noise it makes sounds hollow to the creature.</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</si>
  <si>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</si>
  <si>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</si>
  <si>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</si>
  <si>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spell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Intelligence (Investigation) check against your spell save DC. If a creature discerns the illusion for what it is, the creature can see through the image, and any noise it makes sounds hollow to the creature.</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</si>
  <si>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</si>
  <si>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</si>
  <si>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</si>
  <si>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</si>
  <si>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spell ends, one willing creature you touch is protected against certain types of creatures: aberrations, celestiais, elementals, fey, fiends, and undead.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</si>
  <si>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</si>
  <si>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</si>
  <si>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</si>
  <si>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Raulothim's Psychic Lance</t>
  </si>
  <si>
    <t>You unleash a shimmering lance of psychic power from your forehead at a creature that you can see within range. Alternatively, you can utter a creature’s name. If the named target is within range, it becomes the spell’s target even if you can’t see it. If the named target isn’t within range, the lance dissipates without effect. The target must make an Intelligence saving throw. On a failed save, the target takes 7d6 psychic damage and is incapacitated until the start of your next turn. On a successful save, the creature takes half as much damage and isn’t incapacitated.</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</si>
  <si>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</si>
  <si>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</si>
  <si>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</si>
  <si>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Intelligence score of 2 or lower are unaffected. Each target must make an Intelligence saving throw. On a failed save, a target takes 14d6 psychic damage and is stunned. On a successful save, a target takes half as much damage and isn't stunned. If a target is killed by this damage, its head explodes, assuming it has one. A stunned target can make an Intelligence saving throw at the end of each of its turns. On a successful save, the stunning effect ends.</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</si>
  <si>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</si>
  <si>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Blink</t>
  </si>
  <si>
    <t>Roll a d20 at the end of each of your turns for the duration of the spell. On a roll of 11 or higher, you vanish from your current plane of existence and appear in the Ethereal Plane (the spell fails and the casting is wasted if you were already on that plane). At the start of your next turn, and when the spell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spell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</si>
  <si>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</si>
  <si>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</si>
  <si>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spell. In addition, unsecured objects that are completely within the cone are likewise pulled or pushed 15 feet.</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</si>
  <si>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</si>
  <si>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</si>
  <si>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</si>
  <si>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</si>
  <si>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</si>
  <si>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</si>
  <si>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You choose a creature you can see within range and mark it as your quarry. Until the Glyph ends, you deal an extra 1d6 damage to the target whenever you hit it with an attack, and you have advantage on any contested check you make to against it. If the target drops to 0 hit points before this Glyph ends, you can use a bonus action on a subsequent turn of yours to mark a new creature. </t>
  </si>
  <si>
    <t>At Higher Mana Cost: You can expend extra mana to increase the effects of the glyph, you can concentrate on this glyph for an additional 2 hours for every 3 additional mana expended.</t>
  </si>
  <si>
    <t>Sacred Flame</t>
  </si>
  <si>
    <t>Flame-like radiance descends on a creature that you can see within range. The target must succeed on a Dexterity saving throw or take 1d8 radiant damage. The target gains no benefit from cover for this saving throw. The spell's damage increases by 1d8 when you reach 5th level (2d8), 11th level (3d8), and 17th level (4d8).</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</si>
  <si>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</si>
  <si>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</si>
  <si>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</si>
  <si>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</si>
  <si>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</si>
  <si>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spell also neutralizes any poisons and cures nonmagical diseases that affected the creature at the time it died. This spell doesn't, however, remove magical diseases, curses, or similar effects; if these aren't first removed prior to casting the spell, they take effect when the creature returns to life. The spell can't return an undead creature to life. This spell closes all mortal wounds, but it doesn't restore missing body parts. If the creature is lacking body parts or organs integral for its survival - its head, for instance - the spell automatically fails. Coming back from the dead is an ordeal. The target takes a -4 penalty to all attack rolls, saving throws, and ability checks. Every time the target finishes a long rest, the penalty is reduced by 1 until it disappears.</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</si>
  <si>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</si>
  <si>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Cloud of Daggers</t>
  </si>
  <si>
    <t>You fill the air with spinning daggers in a cube 5 feet on each side, centered on a point you choose within range. A creature takes 4d4 slashing damage when it enters the spell's area for the first time on a turn or starts its turn there.</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</si>
  <si>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</si>
  <si>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</si>
  <si>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</si>
  <si>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</si>
  <si>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spell's duration, the sphere and any space within 100 feet of it are difficult terrain, and nonmagical objects fully inside the sphere are destroyed if they aren't being worn or carried. When the sphere appears and at the start of each of your turns until the spell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spell save DC, ending this restrained condition on itself or another creature in the sphere that it can reach. A creature reduced to 0 hit points by this spell is annihilated, along with any nonmagical items it is wearing or carrying.</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</si>
  <si>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</si>
  <si>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</si>
  <si>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spell attack against the target. On a hit, the target deals only half damage with weapon attacks that use Strength until the spell ends. At the end of each of the target's turns, it can make a Constitution saving throw against the spell. On a success, the spell ends.</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</si>
  <si>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</si>
  <si>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</si>
  <si>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spell attack against the target. On a hit, it takes 1d8 cold damage, and its speed is reduced by 10 feet until the start of your next turn. The spell's damage increases by 1d8 when you reach 5th level (2d8), 11th level (3d8), and 17th level (4d8).</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</si>
  <si>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</si>
  <si>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</si>
  <si>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spell attack against the target. On a hit, the target takes 2d8 poison damage and must make a Constitution saving throw. On a failed save, it is also poisoned until the end of your next turn.</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</si>
  <si>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</si>
  <si>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</si>
  <si>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Wisdom saving throw, or it can't take reactions until the spell ends. The affected target must also roll a d10 at the start of each of its turns; the number rolled determines what happens to the target, as shown on the Reality Break Effects Table. At the end of each of its turns, the affected target can repeat the Wisdom saving throw, ending the spell on itself on a success.</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</si>
  <si>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</si>
  <si>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Regenerate</t>
  </si>
  <si>
    <t>You touch a creature and stimulate its natural healing ability. The target regains 4d8 + 15 hit points. For the duration of the spell, the target regains 1 hit point at the start of each of its turns (10 hit points each minute). The target's severed body members (fingers, legs, tails, and so on), if any, are restored after 2 minutes. If you have the severed part and hold it to the stump, the spell instantaneously causes the limb to knit to the stump.</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</si>
  <si>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</si>
  <si>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Revivify</t>
  </si>
  <si>
    <t>You touch a creature that has died within the last minute. That creature returns to life with 1 hit point. This spell can't return to life a creature that has died of old age, nor can it restore any missing body parts.</t>
  </si>
  <si>
    <t xml:space="preserve">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 </t>
  </si>
  <si>
    <t>At Higher Mana Cost: You can expend extra mana to increase the effects of the glyph, the target regains an additional 1d8 hit points for every 3 additional mana expended. </t>
  </si>
  <si>
    <t>At Higher Mana Cost: You can expend extra mana to increase the effects of the glyph, the target regains an additional 1d8 hit points for every 3 additional mana expended.Â </t>
  </si>
  <si>
    <t>Reincarnate</t>
  </si>
  <si>
    <t>You touch a dead humanoid or a piece of a dead humanoid. Provided that the creature has been dead no longer than 10 days, the spell forms a new adult body for it and then calls the soul to enter that body. If the target's soul isn't free or willing to do so, the spell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</si>
  <si>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</si>
  <si>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 xml:space="preserve">Relativity </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</si>
  <si>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</si>
  <si>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</si>
  <si>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</si>
  <si>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spell breaks its owner's attunement to the object so it can be removed or discarded.</t>
  </si>
  <si>
    <t>At your touch, all curses affecting one creature or object end. If the object is a cursed magic item, its curse remains, but the glyph breaks its owner's attunement to the object so it can be removed or discarded.</t>
  </si>
  <si>
    <t>Otiluke's Resilient Sphere</t>
  </si>
  <si>
    <t>A sphere of shimmering force encloses a creature or object of Large size or smaller within range. An unwilling creature must make a Dexterity saving throw. On a failed save, the creature is enclosed for the duration. Nothing - not physical objects, energy, or other spell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spell targeting the globe destroys it without harming anything inside it.</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</si>
  <si>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</si>
  <si>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</si>
  <si>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spell ends, the target can roll a d4 and add the number rolled to one saving throw of its choice. It can roll the die before or after making the saving throw. The spell then ends.</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</si>
  <si>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</si>
  <si>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</si>
  <si>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undead. If its soul is free and willing, the target returns to life with all its hit points. This spell neutralizes any poisons and cures normal diseases afflicting the creature when it died. It doesn't, however, remove magical diseases, curses, and the like; if such effects aren't removed prior to casting the spell, they afftict the target on its return to life. This spell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spell to restore life to a creature that has been dead for one year or longer taxes you greatly. Until you finish a long rest, you can't cast spells again, and you have disadvantage on all attack rolls, ability checks, and saving throws.</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</si>
  <si>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</si>
  <si>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</si>
  <si>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spell reverses gravity in a 50-foot-radius, 100-foot high cylinder centered on a point within range. All creatures and objects that aren't somehow anchored to the ground in the area fall upward and reach the top of the area when you cast this spell. A creature can make a Dexterity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</si>
  <si>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</si>
  <si>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</si>
  <si>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spell ends. The extradimensional space can be reached by climbing to the top of the rope. The space can hold as many as eight Medium or smaller creatures. The rope can be pulled into the space, making the rope disappear from view outside the space. Attacks and spells can't cross through the entrance into or out of the extradimensional space, but those inside can see out of it as if through a 3-foot-by-5-foot window centered on the rope. Anything inside the extradimensional space drops out when the spell ends.</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</si>
  <si>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</si>
  <si>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</si>
  <si>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</si>
  <si>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</si>
  <si>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spell ends, any creature who targets the warded creature with an attack or a harmful spell must first make a Wisdom saving throw. On a failed save, the creature must choose a new target or lose the attack or spell. This spell doesn't protect the warded creature from area effects, such as the explosion of a fireball. If the warded creature makes an attack or casts a spell that affects an enemy creature, this spell ends.</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</si>
  <si>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</si>
  <si>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</si>
  <si>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spell's damage increases by 1d4 when you reach 5th level (2d4), 11th level (3d4), and 17th level (4d4).</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</si>
  <si>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</si>
  <si>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</si>
  <si>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Wisdom saving throw to resist this spell. You teleport each affected target to an unoccupied space that you can see within 120 feet of you. That space must be on the ground or on a floor.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</si>
  <si>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</si>
  <si>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</si>
  <si>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spell attack for each ray. On a hit, the target takes 2d6 fire damage.</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</si>
  <si>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</si>
  <si>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</si>
  <si>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</si>
  <si>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</si>
  <si>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</si>
  <si>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spell's duration, your weapon flares with white-hot intensity, and the attack deals an extra 1d6 fire damage to the target and causes the target to ignite in flames. At the start of each of its turns until the spell ends, the target must make a Constitution saving throw. On a failed save, it takes 1d6 fire damage. On a successful save, the spell ends. If the target or a creature within 5 feet of it uses an action to put out the flames, or if some other effect douses the flames (such as the target being submerged in water), the spell ends.</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</si>
  <si>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</si>
  <si>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</si>
  <si>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</si>
  <si>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</si>
  <si>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</si>
  <si>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 </t>
  </si>
  <si>
    <t>At Higher Mana Cost: You can expend extra mana to increase the effects of the glyph, the healing increases by 1d6 for every 3 additional mana expended.Â </t>
  </si>
  <si>
    <t>Seeming</t>
  </si>
  <si>
    <t>This spell allows you to change the appearance of any number of creatures that you can see within range. You give each target you choose a new, illusory appearance. An unwilling target can make a Charisma saving throw, and if it succeeds, it is unaffected by this spell. The spell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spell lasts for the duration, unless you use your action to dismiss it sooner. The changes wrought by this spell fail to hold up to physical inspection. For example, if you use this spell to add a hat to a creature's outfit, objects pass through the hat, and anyone who touches it would feel nothing or would feel the creature's head and hair. If you use this spell to appear thinner than you are, the hand of someone who reaches out to touch you would bump into you while it was seemingly still in midair. A creature can use its action to inspect a target and make an Intelligence (Investigation) check against your spell save DC. If it succeeds, it becomes aware that the target is disguised.</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</si>
  <si>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</si>
  <si>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 xml:space="preserve">You touch one person who has cast a glyph this round, doubling the duration of that glyph. If your concentration on this glyph ends, the glyph it is modifying is dispeled only if its original duration is also concluded. A glyph can be effected by this only once. </t>
  </si>
  <si>
    <t xml:space="preserve">At Higher Mana Cost: for every 6 additional Mana expended on this glyph, the duration is increased by the base amount yet again. If this glyph is cast using 36 or more mana, it no longer requires concentration. </t>
  </si>
  <si>
    <t>Sending</t>
  </si>
  <si>
    <t>Unlimited</t>
  </si>
  <si>
    <t>You send a short message of twenty-five words or less to a creature with which you are familiar. The creature hears the message in its mind, recognizes you as the sender if it knows you, and can answer in a like manner immediately. The spell enables creatures with Intelligence scores of at least 1 to understand the meaning of your message. You can send the message across any distance and even to other planes of existence, but if the target is on a different plane than you, there is a 5 percent chance that the message doesn't arrive.</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</si>
  <si>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</si>
  <si>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Arcane Eye</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</si>
  <si>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</si>
  <si>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</si>
  <si>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spell, a willing creature or an object can be hidden away, safe from detection for the duration. When you cast the spell and touch the target, it becomes invisible and can't be targeted by divination spells or perceived through scrying sensors created by divination spells. If the target is a creature, it falls into a state of suspended animation. Time ceases to flow for it, and it doesn't grow older. You can set a condition for the spell to end early. The condition can be anything you choose, but it must occur or be visible within 1 mile of the target. Examples include 'after 1000 years' or 'when the tarrasque awakens.' This spell also ends if the target takes any damage.</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</si>
  <si>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</si>
  <si>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</si>
  <si>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spell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spell persists, you can use a bonus action to cause the sword to reappear in your band.</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</si>
  <si>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</si>
  <si>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</si>
  <si>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of Moil</t>
  </si>
  <si>
    <t>Flame-like shadows wreathe your body until the spell ends, causing you to become heavily obscured to others. The shadows turn dim light within 10 feet of you into darkness, and bright light in the same area to dim light. Until the spell ends, you have resistance to radiant damage. In addition, whenever a creature within 10 feet of you hits you with an attack, the shadows lash out at that creature, dealing it 2d8 necrotic damage.</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</si>
  <si>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</si>
  <si>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 </t>
  </si>
  <si>
    <t>Evard's Black Tentacles</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</si>
  <si>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Dexterity saving throw or take 3d6 bludgeoning damage and be restrained by the tentacles until the spell ends. A creature that starts its turn in the area and is already restrained by the tentacles takes 3d6 bludgeoning damage. A creature restrained by the tentacles can use its action to make a Strength or Dexterity check (its choice) against your spell save DC. On a success, it frees itself.</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</si>
  <si>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</si>
  <si>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</si>
  <si>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spell multiple times, you can have no more than two of its non-instantaneous effects active at a time, and you can dismiss such an effect as an action.</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</si>
  <si>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</si>
  <si>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</si>
  <si>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undead,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Intelligence, Wisdom, and Charisma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spell's duration, you can use your action to assume a different form following the same restrictions and rules for the original form, with one exception; if your new form has more hit points than your current one, your hit points remain at their current value.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</si>
  <si>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</si>
  <si>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</si>
  <si>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spell's area.</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</si>
  <si>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</si>
  <si>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</si>
  <si>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</si>
  <si>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</si>
  <si>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</si>
  <si>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</si>
  <si>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</si>
  <si>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spell attack against the target. You have advantage on the attack roll if the target is wearing armor made of metal. On a hit, the target takes 1d8 lightning damage, and it can't take reactions until the start of its next turn. The spell's damage increases by 1d8 when you reach 5th level (2d8), 11th level (3d8), and 17th level (4d8).</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</si>
  <si>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</si>
  <si>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 </t>
  </si>
  <si>
    <t>Sickening Radiance</t>
  </si>
  <si>
    <t>Dim, greenish light spreads withfo a 30-foot-radius sphere centered on a point you choose within range. The light spreads around corners, and it lasts until the spell ends. When a creature moves into the spell's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spell go away when the spell ends.</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</si>
  <si>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</si>
  <si>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</si>
  <si>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spell that includes a verbal component is impossible there.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</si>
  <si>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</si>
  <si>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</si>
  <si>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Intelligence (Investigation) check against your spell save DC. If a creature discerns the illusion for what it is, the creature can see through the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</si>
  <si>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</si>
  <si>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</si>
  <si>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</si>
  <si>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spell at a time.</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</si>
  <si>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</si>
  <si>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</si>
  <si>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</si>
  <si>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spell.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spell slots. If the simulacrum is damaged, you can repair it in an alchemical laboratory, using rare herbs and minerals worth 100 gp per hit point it regains. The simulacrum lasts until it drops to 0 hit points, at which point it reverts to snow and melts instantly. If you cast this spell again, any currently active duplicates you created with this spell are instantly destrayed.</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</si>
  <si>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</si>
  <si>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</si>
  <si>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spell ends, the creature doubles its proficiency bonus for ability checks it makes that use the chosen skill. You must choose a skill in which the target is proficient and that isn't already benefiting from an effect, such as Expertise, that doubles its proficiency bonus.</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</si>
  <si>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</si>
  <si>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</si>
  <si>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spell's duration. The words dissipate when the spell ends. A strong wind can disperse the clouds and end the spell early.</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</si>
  <si>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</si>
  <si>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</si>
  <si>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spell sends creatures into a magical slumber. Roll 5d8; the total is how many hit points of creatures this spell can affect. Creatures within 20 feet of a point you choose within range are affected in ascending order of their current hit points (ignoring unconscious creatures). Starting with the creature that has the lowest current hit points, each creature affected by this spell falls unconscious until the spell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Undead and creatures immune to being charmed aren't affected by this spell.</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</si>
  <si>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</si>
  <si>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</si>
  <si>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</si>
  <si>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spell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spell's area for the first time on a turn or starts its turn there, it must make a Dexterity saving throw. On a failed save, it falls prone. If a creature is concentrating in the spell's area, the creature must make a successful Constitution saving throw against your spell save DC or lose concentration.</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</si>
  <si>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</si>
  <si>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</si>
  <si>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Wisdom saving throw or be affected by this spell for the duration. An affected target's speed is halved, it takes a -2 penalty to AC and Dexterity saving throws, and it can't use reactions. On its turn, it can use either an action or a bonus action, not both. Regardless of the creature's abilities or magic items, it can't make more than one melee ar ranged attack during its turn. If the creature attempts to cast a spell with a casting time of 1 action, roll a d20. On an 11 or higher, the spell doesn't take effect until the creature's next turn, and the creature must use its action on that turn to complete the spell. If it can't, the spell is wasted. A creature affected by this spell makes another Wisdom saving throw at the end of its turn. On a successful save, the effect ends for it.</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</si>
  <si>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</si>
  <si>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</si>
  <si>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</si>
  <si>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 xml:space="preserve">When you cast this glyph using a tier 4 or higher, its damage increases by 1d8 per tier above 3. </t>
  </si>
  <si>
    <t>Snare</t>
  </si>
  <si>
    <t>As you cast this spell, you use the rope to create a circle with a 5-foot radius on the ground or the floor. When you finish casting, the rope disappears and the circle becomes a magic trap. This trap is nearly invisible, requiring a successful Intelligence (Investigation) check against your spell save DC to be discerned. The trap triggers when a Small, Medium, or Large creature moves onto the ground or the floor in the spell's radius. That creature must succeed on a Dexterity saving throw or be magically hoisted into the air, leaving it hanging upside down 3 feet above the ground or the floor. The creature is restrained there until the spell ends. A restrained creature can make a Dexterity saving throw at the end of each of its turns, ending the effect on itself on a success. Alternatively, the creature or someone else who can reach it can use an action to make an Intelligence (Arcana) check against your spell save DC. On a success, the restrained effect ends. After the trap is triggered, the spell ends when no creature is restrained by it.</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</si>
  <si>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</si>
  <si>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</si>
  <si>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</si>
  <si>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</si>
  <si>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</si>
  <si>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</si>
  <si>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spell snatches the soul of a humanoid as it dies and traps it inside the tiny cage you use for the material component. A stolen soul remains inside the cage until the spell ends or until you destroy the cage, which ends the spell. While you have a soul inside the cage, you can exploit it in any of the ways described below. You can use a trapped soul up to six times. Once you exploit a soul for the sixth time, it is released, and the spell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spell). You receive visual and auditory information from the sensor as if you were in its space using your senses. A creature that can see the sensor (such as one using see invisibility or truesight) sees a translucent image of the tormented humanoid whose soul you caged.</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</si>
  <si>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</si>
  <si>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</si>
  <si>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</si>
  <si>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</si>
  <si>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living creature that has 0 hit points. The creature becomes stable. This spell has no effect on undead or constructs.</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</si>
  <si>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</si>
  <si>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</si>
  <si>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intelligence, but at minimum, beasts can give you information about nearby locations and monsters, inc1uding whatever they can perceive or have perceived within the past day. You might be able to persuade a beast to perform a small favor for you, at the DM's discretion.</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</si>
  <si>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</si>
  <si>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</si>
  <si>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spell's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spell doesn't enable plants to uproot themselves and move about, but they can freely move branches, tendrils, and stalks. If a plant creature is in the area, you can communicate with it as if you shared a common language, but you gain no magical ability to influence it. This spell can cause the plants created by the entangle spell to release a restrained creature.</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</si>
  <si>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</si>
  <si>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Mage Armor</t>
  </si>
  <si>
    <t>You touch a willing creature who isn't wearing armor, and a pratective magical force surrounds it until the spell ends. The target's base AC becomes 13 + its Dexterity modifier. The spell ends if the target dons armor or if you dismiss the spell as an action.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</si>
  <si>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</si>
  <si>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</si>
  <si>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spell ends, one willing creature you touch gains the ability to move up, down, and across vertical surfaces and upside down along ceilings, while leaving its hands free. The target also gains a climbing speed equal to its walking speed.</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</si>
  <si>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</si>
  <si>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</si>
  <si>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spell is cast must make a Wisdom (Perception) check against your spell save DC to recognize the terrain as hazardous before entering it.</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</si>
  <si>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</si>
  <si>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</si>
  <si>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spell again. When you cast the spell, you can make a melee spell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spell's effect resemble that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</si>
  <si>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</si>
  <si>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</si>
  <si>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</si>
  <si>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</si>
  <si>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spell's duration, your weapon pierces both body and mind, and the attack deals an extra 4d6 psychic damage to the target. The target must make a Wisdom saving throw. On a failed save, it has disadvantage on attack rolls and ability checks, and can't take reactions, until the end of its next turn.</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</si>
  <si>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</si>
  <si>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Self (15 foot line)</t>
  </si>
  <si>
    <t>You release a burst of static electricity in a 15-foot line. Each creature in the line must succeed on a Agility saving throw or take 1d8 lightning damage and be pushed 5 feet away from you. </t>
  </si>
  <si>
    <t>At Higher Mana Cost. The damage increases by 1d8 at 5th level (2d8), 11th level (3d8), and 17th level (4d8).</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</si>
  <si>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</si>
  <si>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</si>
  <si>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spell attack against each target. On a hit, a target takes 6d10 force damage. You can then teleport to an unoccupied space you can see within 5 feet of one of the targets you hit or missed.</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</si>
  <si>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</si>
  <si>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</si>
  <si>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</si>
  <si>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</si>
  <si>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</si>
  <si>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</si>
  <si>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</si>
  <si>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spell turns the flesh of a willing creature you touch as hard as stone. Until the spell ends, the target has resistance to nonmagical bludgeoning, piercing, and slashing damage.</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</si>
  <si>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</si>
  <si>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</si>
  <si>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spell,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Dexterity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spells. Finally, gusts of strong wind (ranging from 20 to 50 miles per hour) automatically disperse fog, mists, and similar phenomena in the area, whether mundane or magical.</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</si>
  <si>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</si>
  <si>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</si>
  <si>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spell's duration. Each creature in the sphere when it appears or that ends its turn there must succeed on a Strength saving throw or take 2d6 bludgeoning damage. The sphere's space is difficult terrain. Until the spell ends, you can use a bonus action on each of your turns to cause a bolt of lightning to leap from the center of the sphere toward one creature you choose within 60 feet of the center. Make a ranged spell attack. You have advantage on the attack roll if the target is in the sphere. On a hit, the target takes 4d6 lightning damage. Creatures within 30 feet of the sphere have disadvantage on Wisdom (Perception) checks made to listen.</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</si>
  <si>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</si>
  <si>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</si>
  <si>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</si>
  <si>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</si>
  <si>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spell. The target must make a Wisdom saving throw. On a failed save, it pursues the course of action you described to the best of its ability. The suggested course of action can continue for the entire duration. If the suggested activity can be completed in a shorter time, the spell ends when the subject finishes what it was asked to do. You can also specify conditions that will trigger a special activity during the duration. For example, you might suggest that a knight give her warhorse to the first beggar she meets. If the condition isn't met before the spell expires, the activity isn't performed. If you or any of your companions damage the target, the spell ends.</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</si>
  <si>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</si>
  <si>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</si>
  <si>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spirit. It manifests in an unoccupied space that you can see within range. This corporeal form uses the Aberrant Spirit stat block. When you cast the spell, choose Beholderkin, Slaad, or Star Spawn. The creature resembles an aberration of that kind,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</si>
  <si>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</si>
  <si>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</si>
  <si>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</si>
  <si>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spirit. It manifests in an unoccupied space that you can see within range. This corporeal form uses the Bestial Spirit stat block. When you cast the spell, choose an environment: Air, Land, or Water. The creature resembles an animal of your choice that is native to the chosen environment,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</si>
  <si>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</si>
  <si>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</si>
  <si>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</si>
  <si>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spirit. It manifests in an angelic form in an unoccupied space that you can see within range. This corporeal form uses the Celestial Spirit stat block. When you cast the spell, choose Avenger or Defender. Your choice determines the creature's attack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</si>
  <si>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</si>
  <si>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</si>
  <si>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</si>
  <si>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spirit of a construct. It manifests in an unoccupied space that you can see within range. This corporeal form uses the Construct Spirit stat block. When you cast the spell, choose a material: Clay, Metal, or Stone. The creature resembles a golem or a modron (your choice) made of the chosen material,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</si>
  <si>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</si>
  <si>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</si>
  <si>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Fey</t>
  </si>
  <si>
    <t>You call forth a fey spirit. It manifests in an unoccupied space that you can see within range. This corporeal form uses the Fey Spirit stat block. When you cast the spell, choose a mood: Fuming, Mirthful, or Tricksy. The creature resembles a fey creature of your choice marked by the chosen mood, which determines one of the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</si>
  <si>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</si>
  <si>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</si>
  <si>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spirit. It manifests in an unoccupied space that you can see within range. This corporeal form uses the Draconic Spirit stat block. When you cast this spell, choose a family of dragon: chromatic, gem, or metallic. The creature resembles a dragon of the chosen family,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</si>
  <si>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</si>
  <si>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</si>
  <si>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</si>
  <si>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</si>
  <si>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spirit. It manifests in an unoccupied space that you can see within range. This corporeal form uses the Elemental Spirit stat block. When you cast the spell, choose an element: Air, Earth, Fire, or Water. The creature resembles a bipedal form wreathed in the chosen element,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</si>
  <si>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</si>
  <si>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Shadowspawn</t>
  </si>
  <si>
    <t>You call forth a shadowy spirit. It manifests in an unoccupied space that you can see within range. This corporeal form uses the Shadow Spirit stat block. When you cast the spell, choose an emotion: Fury, Despair, or Fear. The creature resembles a misshapen biped marked by the chosen emotion,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</si>
  <si>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</si>
  <si>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</si>
  <si>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undead spirit. It manifests in an unoccupied space that you can see within range. This corporeal form uses the Undead Spirit stat block. When you cast the spell, choose the creature's form: Ghostly, Putrid, or Skeletal. The spirit resembles an undead creature with the chosen form, which determines certain traits in its stat block. The creature disappears when it drops to 0 hit points or when the spell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</si>
  <si>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</si>
  <si>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</si>
  <si>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spell. Undead and oozes have disadvantage on this saving throw. You can create a new line of radiance as your action on any turn until the spell ends. For the duration, a mote of brilliant radiance shines in your hand. It sheds bright light in a 30-foot radius and dim light for an additional 30 feet. This light is sunlight.</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</si>
  <si>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</si>
  <si>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</si>
  <si>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spell. Undead and oozes have disadvantage on this saving throw. A creature blinded by this spell makes another Constitution saving throw at the end of each of its turns. On a successful save, it is no longer blinded. This spell dispels any darkness in its area that was created by a spell.</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</si>
  <si>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</si>
  <si>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</si>
  <si>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</si>
  <si>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</si>
  <si>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</si>
  <si>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spell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spell disintegrate when the spell ends. If the quiver leaves your possession, the spell ends.</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</si>
  <si>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</si>
  <si>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</si>
  <si>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</si>
  <si>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</si>
  <si>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</si>
  <si>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Dexterity saving throw or take 1d6 force damage. This spell's damage increases by 1d6 when you reach 5th level (2d6), 11th level (3d6), and 17th level (4d6).</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</si>
  <si>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</si>
  <si>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</si>
  <si>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spell,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spell, the glyph is broken, and the spell ends without being triggered. The glyph is nearly invisible, requiring an Intelligence (Investigation) check against your spell save DC to find it. You decide what triggers the glyph when you cast the spell.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spell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spell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Wisdom saving throw and becomes frightened for 1 minute on a failed save. While frightened, the target drops whatever it is holding and must move at least 30 feet away from the glyph on each of its turns, if able; Hopelessness: Each target must make a Charisma saving throw. On a failed save, the target is overwhelmed with despair for 1 minute. During this time, it can't attack or target any creature with harmful abilities, spells, or other magical effects; Insanity: Each target must make an Intelligence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Wisdom saving throw and falls unconscious for 10 minutes on a failed save. A creature awakens if it takes damage or if someone uses an action to shake or slap it awake; Stunning: Each target must make a Wisdom saving throw and becomes stunned for 1 minute on a failed save.</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</si>
  <si>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</si>
  <si>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</si>
  <si>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Intelligence saving throw. A creature with an Intelligence score of 2 or lower can't be affected by this spell.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Intelligence saving throw at the end of each of its turns, ending the effect on itself on a success.</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</si>
  <si>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</si>
  <si>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</si>
  <si>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spell,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spell. Creature: You can try to move a Huge or smaller creature. Make an abilily check with your spellcasting ability contested by the creature's Strength check. If you win the contest, you move the creature up to 30 feet in any direction, including upward but not beyond the range of this spell.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spell.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spell. You can exert fine control on objects with your telekinetic grip, such as manipulating a simple tool, opening a door or a container, stowing or retrieving an item from an open container, or pouring the contents from a vial.</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</si>
  <si>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</si>
  <si>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</si>
  <si>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spell ends if you or the target are no longer on the same plane. Until the spell ends, you and the target can instantaneously share words, images, sounds, and other sensory messages with one another through the link, and the target recognizes you as the creature it is communicating with. The spell enables a creature with an Intelligence score of at least 1 to understand the meaning of your words and take in the scope of any sensory messages you send to it.</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</si>
  <si>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</si>
  <si>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</si>
  <si>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spell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spell.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spell has no range limit, you could conceivably wind up anywhere on the plane; Mishap: The spell's unpredictable magic results in a difficult journey. Each teleporting creature (or the target object) takes 3d10 force damage, and the DM rerolls on the table to see where you wind up (multiple mishaps can occur, dealing damage each time).</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</si>
  <si>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</si>
  <si>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</si>
  <si>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spell,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spell,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spell in the same location every day for one year. You need not use the circle to teleport when you cast the spell in this way.</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</si>
  <si>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</si>
  <si>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</si>
  <si>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spell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spell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spell. Choose one or more of the following: celestials, elementals, fey, fiends, or undead. If a creature of the chosen type attempts to enter the temple, that creature must make a Charisma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divination spells can't appear inside the temple, and creatures within can't be targeted by divination spells. Finally, whenever any creature in the temple regains hit points from a spell of 1st level or higher, the creature regains additional hit points equal to your Wisdom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spell destroys the temple instantly. Casting this spell on the same spot every day for a year makes this effect permanent.</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</si>
  <si>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</si>
  <si>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</si>
  <si>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</si>
  <si>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Wisdom saving throw or vanish, being thrown to another point in time and causing the attack to miss or the spell to be wasted. At the start of its next turn, the target reappears where it was or in the closest unoccupied space. The target doesn't remember you casting the spell or being affected by it.</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</si>
  <si>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</si>
  <si>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</si>
  <si>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Tether Essence</t>
  </si>
  <si>
    <t>Two creatures you can see within range must make a Constitution saving throw, with disadvantage if they are within 30 feet of each other. Either creature can willingly fail the save. If either save succeeds, the spell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spell ends on both. If the spell ends on one creature, it ends on both.</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</si>
  <si>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</si>
  <si>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</si>
  <si>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spell multiple times, you can have up to three of its 1-minute effects active at a time, and you can dismiss such an effect as an action.</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</si>
  <si>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</si>
  <si>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</si>
  <si>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spell attack against the target. If the attack hits, the creature takes 1d6 piercing damage, and if the creature is Large or smaller, you pull the creature up to 10 feet closer to you. This spell's damage increases by 1d6 when you reach 5th level (2d6), 11th level (3d6), and 17th level (4d6).</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</si>
  <si>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</si>
  <si>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</si>
  <si>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spell, and there must be an unoccupied space within 5 feet of your destination space for the creature to appear in; otherwise, the creature is left behind.</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</si>
  <si>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</si>
  <si>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</si>
  <si>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spell's damage increases by 1d6 when you reach 5th level (2d6), 11th level (3d6), and 17th level (4d6).</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</si>
  <si>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</si>
  <si>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</si>
  <si>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spell's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</si>
  <si>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</si>
  <si>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</si>
  <si>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</si>
  <si>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spell's effect, and the spell emits a thunderous boom audible out to 300 feet.</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</si>
  <si>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</si>
  <si>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</si>
  <si>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Dexterity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</si>
  <si>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</si>
  <si>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</si>
  <si>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spell or the greater restoration cast with a 9th-level spell slot can end these effects and restore the target to its previous 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</si>
  <si>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</si>
  <si>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Stop</t>
  </si>
  <si>
    <t>You briefly stop the flow of time for everyone but yourself. No time passes for other creatures, while you take 1d4 + 1 turns in a row, during which you can use actions and move as normal. This spell ends if one of the actions you use during this period, or any effects that you create during this period, affects a creature other than you or an object being worn or carried by someone other than you. In addition, the spell ends if you move to a place more than 1000 feet from the location where you cast it.</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</si>
  <si>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</si>
  <si>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</si>
  <si>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spell ends or the creature drops to 0 hit points. See the stat block for its statistics. As a bonus action, you can mentally command the creature if it is within 120 feet of you (if you control multiple creatures with this spell,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</si>
  <si>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</si>
  <si>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</si>
  <si>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Divination</t>
  </si>
  <si>
    <t>Your magic and an offering put you in contact with a god or a god's servants. You ask a single question concerning a speeific goal, event, or activity to occur within 7 days. The DM offers a truthful reply. The reply might be a short phrase, a cryptic rhyme, or an omen. The spell doesn't take into account any possible circumstances that might change the outcome, such as the casting of additional spells or the loss or gain of a companion. If you cast the spell two or more times before finishing your next long rest, there is a cumulative 25 percent chance for each casting after the first that you get a random reading. The DM makes this roll in secret.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</si>
  <si>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</si>
  <si>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</si>
  <si>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spell grants the creature you touch the ability to understand any spoken language it hears. Moreover, when the target speaks, any creature that knows at least one language and can hear the target understands what it says.</t>
  </si>
  <si>
    <t>This glyph grants the creature you touch the ability to understand any spoken language it hears. Moreover, when the target speaks, any creature that knows at least one language and can hear the target understands what it says.</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</si>
  <si>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</si>
  <si>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</si>
  <si>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spell's duration. The ground in the spell's area becomes muddy enough that creatures can sink into it. Each foot that a creature moves through the mud costs 4 feet of movement, and any creature on the ground when you cast the spell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spell on a ceiling, the mud falls. Any creature under the mud when it falls must make a Dexterity saving throw. A creature takes 4d8 bludgeoning damage on a failed save, or half as much damage on a successful one; Transmute Mud to Rock: Nonmagical mud or quicksand in the area no more than 10 feet deep transforms into soft stone for the spell's duration. Any creature in the mud when it transforms must make a Dexterity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</si>
  <si>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</si>
  <si>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</si>
  <si>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spell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</si>
  <si>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</si>
  <si>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Astral Projection</t>
  </si>
  <si>
    <t>You and up to eight willing creatures within range project your astral bodies into the Astral Plane (the spell fails and the casting is wasted if you are already on that plane). The material body you leave behind is unconscious and in a state of suspended animation; it doesn't need food or air and doesn't age. Your astral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astral form can freely travel through the Astral Plane and can pass through portals there leading to any other plane. If you enter a new plane or return to the plane you were on when casting this spell, your body and possessions are transported along the silver cord, allowing you to re-enter your body as you enter the new plane. Your astral form is a separate incarnation. Any damage or other effects that apply to it have no effect on your physical body, nor do they persist when you return to it. The spell ends for you and your companions when you use your action to dismiss it. When the spell ends, the affected creature returns to its physical body, and it awakens. The spell might also end early for you or one of your companions. A successful dispel magic spell used against an astral or physical body ends the spell for that creature. If a creature's original body or its astral form drops to 0 hit points, the spell ends for that creature. If the spell ends and the silver cord is intact, the cord pulls the creature's astral form back to its body, ending its state of suspended animation. If you are returned to your body prematurely, your companions remain in their astral forms and must find their own way back to their bodies, usually by dropping to 0 hit points.</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</si>
  <si>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</si>
  <si>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</si>
  <si>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</si>
  <si>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</si>
  <si>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</si>
  <si>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spell for the full duration, the transformation becomes permanent. Shapechangers aren't affected by this spell. An unwilling creature can make a Wisdom saving throw, and if it succeeds, it isn't affected by this spell.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spells,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spell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spell ends and it returns to its normal form.</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</si>
  <si>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</si>
  <si>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</si>
  <si>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spell closes all wounds, neutralizes any poison, cures all diseases, and lifts any curses affecting the creature when it died. The spell replaces damaged or missing organs and limbs. The spell can even provide a new body if the original no longer exists, in which case you must speak the creature's name. The creature then appears in an unoccupied space you choose within 10 feet of you.</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</si>
  <si>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</si>
  <si>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</si>
  <si>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spell gives the willing creature you touch the ability to see things as they actually are. For the duration, the creature has truesight, notices secret doors hidden by magic, and can see into the Ethereal Plane, all out to a range of 120 feet.</t>
  </si>
  <si>
    <t>This glyph gives the willing creature you touch the ability to see things as they actually are. For the duration, the creature has truesight, notices secret doors hidden by magic, and can see into the Ethereal Plane, all out to a range of 120 feet.</t>
  </si>
  <si>
    <t>Up to 1 round</t>
  </si>
  <si>
    <t>You extend your hand and point a finger at a target in range. Your magic grants you a brief insight into the target's defenses. On your next turn, you gain advantage on your first attack roll against the target, provided that this spell hasn't ended.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</si>
  <si>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</si>
  <si>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 </t>
  </si>
  <si>
    <t>At Higher Level. You deal additional damage of your affinity’s type at each of level 5 (1d6),  level 11 (2d6), and level 17 (3d6). </t>
  </si>
  <si>
    <t>At Higher Level. You deal additional damage of your affinityâ€™s type at each of level 5 (1d6),Â  level 11 (2d6), and level 17 (3d6).Â </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</si>
  <si>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</si>
  <si>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</si>
  <si>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spell on subsequent rounds is reduced by 1d10. When the wall reaches 0 feet in height, the spell ends. A creature caught in the wall can move by swimming. Because of the force of the wave, though, the creature must make a successful Strength (Athletics) check against your spell save DC in order to move at all. If it fails the check, it can't move. A creature that moves out of the area falls to the ground.</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</si>
  <si>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</si>
  <si>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Galder's Speedy Courier</t>
  </si>
  <si>
    <t>You summon a Small air elemental to a spot within range. The air elemental is formless, nearly transparent, immune to all damage, and cannot interact with other creatures or objects. It carries an open, empty chest whose interior dimensions are 3 feet on each side. While the spell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spell’s duration remains in which it can retrieve them. No other creature can open the chest and retrieve its contents. When the spell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</si>
  <si>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</si>
  <si>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</si>
  <si>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Leomund's Tiny Hut</t>
  </si>
  <si>
    <t>Self (10-foot-radius hemisphere)</t>
  </si>
  <si>
    <t>A 10-foot-radius immobile dome of force springs into existenee around and above you and remains stationary for the duration. The spell ends if you leave its area. Nine creatures of Medium size or smaller can fit inside the dome with you. The spell fails if its area includes a larger ereature or more than nine creatures. Creatures and objeets within the dome when you east this spell can move through it freely. All other creatures and objects are barred from passing through it. Spells and other magical effects can't extend through the dome or be east through it. The atmosphere inside the space is comfortable and dry, regardless of the weather outside. Until the spell ends, you can command the interior to become dimly lit or dark. The dome is opaque from the outside, of any color you choose, but it is transparent from the inside.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</si>
  <si>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</si>
  <si>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Rary's Telepathic Bond</t>
  </si>
  <si>
    <t>You forge a telepathic link among up to eight willing creatures of your choice within range, psychically linking each creature to all the others for the duration. Creatures with Intelligence scores of 2 or less aren't affected by this spell. Until the spell ends, the targets can communicate telepathically through the bond whether or not they have a common language. The communication is possible over any distance, though it can't extend to other planes of existence.</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</si>
  <si>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</si>
  <si>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A tendril of shadow stretches from your hand, briefly grasping a target and moving it. When you cast this spell,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</si>
  <si>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r>
      <t xml:space="preserve">A tendril of shadow stretches from your hand, briefly grasping a target and moving it. When you cast this glyph, choose one of the following effects: </t>
    </r>
    <r>
      <rPr>
        <b/>
        <sz val="10"/>
        <color theme="1"/>
        <rFont val="Bahnschrift"/>
        <family val="2"/>
      </rPr>
      <t>Object Movement</t>
    </r>
    <r>
      <rPr>
        <sz val="10"/>
        <color theme="1"/>
        <rFont val="Bahnschrift"/>
        <family val="2"/>
      </rPr>
      <t xml:space="preserve">: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t>
    </r>
    <r>
      <rPr>
        <b/>
        <sz val="10"/>
        <color theme="1"/>
        <rFont val="Bahnschrift"/>
        <family val="2"/>
      </rPr>
      <t>Forced Shove</t>
    </r>
    <r>
      <rPr>
        <sz val="10"/>
        <color theme="1"/>
        <rFont val="Bahnschrift"/>
        <family val="2"/>
      </rPr>
      <t>: You can attempt to shove one creature within range. The target must make a Strength saving throw. On a failed save, the creature is pushed up to 10 feet in a direction of your choice.</t>
    </r>
  </si>
  <si>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</si>
  <si>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</si>
  <si>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spell creates an invisible, mindless, shapeless force that performs simple tasks at your command until the spell ends. The servant springs into existence in an unoccupied space on the ground within range. It has AC 10, 1 hit point, and a Strength of 2, and it can't attack. If it drops to 0 hit points, the spell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spell ends.</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</si>
  <si>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</si>
  <si>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</si>
  <si>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spell attack against a creature within your reach. On a hit, the target takes 3d6 necrotic damage, and you regain hit points equal to half the amount of necrotic damage dealt. Until the spell ends, you can make the attack again on each of your turns as an action.</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</si>
  <si>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</si>
  <si>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Vicious Mockery</t>
  </si>
  <si>
    <t>You unleash a string of insults laced with subtle enchantments at a creature you can see within range. If the target can hear you (though it need not understand you), it must succeed on a Wisdom saving throw or take 1d4 psychic damage and have disadvantage on the next attack roll it makes before the end of its next turn. This spell's damage increases by 1d4 when you reach 5th level (2d4), 11th level (3d4), and 17th level (4d4).</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</si>
  <si>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</si>
  <si>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You enchant an ally with divine light that wards against surprise. The target gains advantage on the next initiative roll while the spell lasts.</t>
  </si>
  <si>
    <t>You touch one creature, imbuing it with vitality. If the target has at least 1 hit point, it gains a number of temporary hit points equal to 1d4 + your glyph casting ability modifier. The temporary hit points are lost when the glyph ends. </t>
  </si>
  <si>
    <t>Fizban's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</si>
  <si>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Dexterity saving throw to take only half damage, the creature instead takes no damage if it succeeds on the saving throw, and only half damage if it fails. As a bonus action on subsequent turns, you can move the field to another creature within 60 feet of the field.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</si>
  <si>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</si>
  <si>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</si>
  <si>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Dexterity saving throw. On a failed save, a creature takes 10d4 acid damage and another 5d4 acid damage at the end of its next turn. On a successful save, a creature takes half the initial damage and no damage at the end of its next turn.</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</si>
  <si>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</si>
  <si>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</si>
  <si>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</si>
  <si>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</si>
  <si>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</si>
  <si>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Etherealness</t>
  </si>
  <si>
    <t>You step into the border regions of the Ethereal Plane, in the area where it overlaps with your current plane. You remain in the Border Ethereal for the duration or until you use your action to dismiss the spell.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spell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spell has no effect if you cast it while you are on the Ethereal Plane or a plane that doesn't border it, such as one of the Outer Planes.</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</si>
  <si>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</si>
  <si>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</si>
  <si>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</si>
  <si>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Dexterity saving throw. On a failed save, a creature takes 5d8 fire damage, or half as much damage on a successful save. One side of the wall, selected by you when you cast this spell, deals 5d8 fire damage to each creature that ends its turn within 10 feet of that side or inside the wall. A creature takes the same damage when it enters the wall for the first time on a turn or ends its turn there. The other side of the wall deals no damage.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</si>
  <si>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</si>
  <si>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</si>
  <si>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spell destroys the wall instantly, however. The wall also extends into the Ethereal Plane, blocking ethereal travel through the wall.</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</si>
  <si>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</si>
  <si>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</si>
  <si>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Dexterity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</si>
  <si>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</si>
  <si>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</si>
  <si>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</si>
  <si>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spell ends, you can use an action to launch a beam of radiance from the wall at one creature you can see within 60 feet of it. Make a ranged spell attack. On a hit, the target takes 4d8 radiant damage. Whether you hit or miss, reduce the length of the wall by 10 feet. If the wall's length drops to 0 feet, the spell ends.</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</si>
  <si>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</si>
  <si>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</si>
  <si>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spell ends. It blocks line of sight but not movement. A creature is blinded while in the wall's space and must spend 3 feet of movement for every 1 foot it moves there.</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</si>
  <si>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</si>
  <si>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</si>
  <si>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Dexterity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spell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spell for its whole duration, the wall becomes permanent and can't be dispelled. Otherwise, the wall disappears when the spell ends.</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</si>
  <si>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</si>
  <si>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</si>
  <si>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Dexterity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Dexterity saving throw. It takes 7d8 slashing damage on a failed save, or half as much damage on a successful one.</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</si>
  <si>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</si>
  <si>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</si>
  <si>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</si>
  <si>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spell ends. The wall's space is difficult terrain. Any ranged weapon attack that enters the wall's space has disadvantage on the attack roll, and fire damage is halved if the fire effect passes through the wall to reach its target. Spells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</si>
  <si>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</si>
  <si>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</si>
  <si>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spell wards a willing creature you touch and creates a mystic connection between you and the target until the spell ends. While the target is within 60 feel of you, it gains a +1 bonus to AC and saving throws, and it has resistance to all damage. Also, each time it takes damage, you take the same amount of damage. The spell ends if you drop to 0 hit points or if you and the target become separated by more than 60 feet. It also ends if the spell is cast again on either of the connected creatures. You can also dismiss the spell as an action.</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</si>
  <si>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</si>
  <si>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</si>
  <si>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spell's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</si>
  <si>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</si>
  <si>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</si>
  <si>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spell grants up to ten willing creatures you can see within range the ability to breathe underwater until the spell ends. Affected creatures also retain their normal mode of respiration.</t>
  </si>
  <si>
    <t>This glyph grants up to ten willing creatures you can see within range the ability to breathe underwater until the glyph ends. Affected creatures also retain their normal mode of respiration.</t>
  </si>
  <si>
    <t>Water Walk</t>
  </si>
  <si>
    <t>This spell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spell carries the target to the surface of the liquid at a rate of 60 feet per round.</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</si>
  <si>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</si>
  <si>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</si>
  <si>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spell's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spell ends, the sphere falls to the ground and extinguishes all normal flames within 30 feet of it. Any creature restrained by the sphere is knocked prone in the space where it falls. The water then vanishes.</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</si>
  <si>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</si>
  <si>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</si>
  <si>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spell ends at the start of your next turn. Webs layered over a flat surface have a depth of 5 feet. Each creature that starts its turn in the webs or that enters them during its turn must make a Dexterity saving throw. On a failed save, the creature is restrained as long as it remains in the webs or until it breaks free. A creature restrained by the webs can use its action to make a Strength check against your spell save DC. If it succeeds, it is no longer restrained. The webs are flammable. Any 5-foot cube of webs exposed to fire burns away in 1 round, dealing 2d4 fire damage to any creature that starts its turn in the fire.</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</si>
  <si>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</si>
  <si>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</si>
  <si>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Wisdom saving throw. On a failed save, a creature becomes frightened for the duration. The illusion calls on the creature's deepest fears, manifesting its worst nightmares as an implacable threat. At the start of each of the frightened creature's turns, it must succeed on a Wisdom saving throw or take 4d10 psychic damage. On a successful save, the spell ends for that creature.</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</si>
  <si>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</si>
  <si>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Whirlwind</t>
  </si>
  <si>
    <t>A whirlwind howls down to a point that you can see on the ground within range. The whirlwind is a 10-foot-radius, 30-foot-high cylinder centered on that point. Until the spell ends, you can use your action to move the whirlwind up to 30 feet in any direction along the ground. The whirlwind sucks up any Medium or smaller objects that aren't secured to anything and that aren't worn or carried by anyone. A creature must make a Dexterity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spell ends. When a creature starts its turn restrained by the whirlwind, the creature is pulled 5 feet higher inside it, unless the creature is at the top. A restrained creature moves with the whirlwind and falls when the spell ends, unless the creature has some means to stay aloft. A restrained creature can use an action to make a Strength or Dexterity check against your spell save DC. If successful, the creature is no longer restrained by the whirlwind and is hurled 3d6 x 10 feet away from it in a random direction.</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</si>
  <si>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</si>
  <si>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</si>
  <si>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spell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</si>
  <si>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</si>
  <si>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</si>
  <si>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</si>
  <si>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</si>
  <si>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spell attack against that creature. On a hit, the target takes 1d12 lightning damage, and on each ofyour turns for the duration, you can use your action to deal 1d12 lightning damage to the target automatically. The spell ends if you use your action to do anything else. The spell also ends if the target is ever outside the spell's range or if it has total cover from you.</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</si>
  <si>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</si>
  <si>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</si>
  <si>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</si>
  <si>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</si>
  <si>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</si>
  <si>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</si>
  <si>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</si>
  <si>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</si>
  <si>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</si>
  <si>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spell's damage increases by 1d6 when you reach 5th level (2d6), 11th level (3d6), and 17th level (4d6).</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</si>
  <si>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</si>
  <si>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</si>
  <si>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spell without first preparing a sanctuary, the spell has no effect. You must designate a sanctuary by casting this spell within a location, such as a temple, dedicated to or strongly linked to your deity. If you attempt to cast the spell in this manner in an area that isn't dedicated to your deity, the spell has no effect.</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</si>
  <si>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</si>
  <si>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</si>
  <si>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spell ends. Grasses and Undergrowth: Any area of ground in the cube that is covered by grass or undergrowth is difficult terrain for your enemies; Trees: At the start of each of your turns, each of your enemies within 10 feet of any tree in the cube must succeed on a Dexterity saving throw or take 4d6 slashing damage from whipping branches; Roots and Vines: At the end of each of your turns, one creature of your choice that is on the ground in the cube must succeed on a Strength saving throw or become restrained until the spell ends. A restrained creature can use an action to make a Strength (Athletics) check against your spell save DC, ending the effect on itself on a success; Rocks: As a bonus action on your turn, you can cause a loose rock in the cube to launch at a creature you can see in the cube. Make a ranged spell attack against the target. On a bit, the target takes 3d8 nonmagical bludgeoning damage, and it must succeed on a Strength saving throw or fall prone.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</si>
  <si>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</si>
  <si>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</si>
  <si>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spell's duration, your attack deals an extra 1d6 psychic damage. Additionally, if the target is a creature, it must make a Wisdom saving throw or be frightened of you until the spell ends. As an action, the creature can make a Wisdom check against your spell save DC to steel its resolve and end this spell.</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</si>
  <si>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</si>
  <si>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</si>
  <si>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spell ends, you can use your action to summon the object to your free hand, and you can use your action to return the object to the extradimensional space. An object still in the pocket plane when the spell ends appears in your space, at your feet.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</si>
  <si>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</si>
  <si>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</si>
  <si>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spell ends, your movement doesn't provoke opportunity attacks. Once before the spell ends, you can give yourself advantage on one weapon attack roll on your turn. That attack deals an extra 1d8 force damage on a hit. Whether you hit or miss, your walking speed increases by 30 feet until the end of that turn.</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</si>
  <si>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</si>
  <si>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</si>
  <si>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spell ends, a creature that enters the spell's area for the first time on a turn or starts its turn there must make a Charisma saving throw. On a failed save, a creature can't speak a deliberate lie while in the radius. You know whether each creature succeeds or fails on its saving throw. An affected creature is aware of the spell and can thus avoid answering questions to which it would normally respond with a lie. Such a creature can be evasive in its answers as long as it remains within the boundaries of the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</si>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</sst>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b/>
      <sz val="10"/>
      <name val="Bahnschrift"/>
      <family val="2"/>
    </font>
    <font>
      <sz val="10"/>
      <color theme="1"/>
      <name val="Bahnschrift"/>
      <family val="2"/>
    </font>
    <font>
      <b/>
      <sz val="10"/>
      <color theme="1"/>
      <name val="Bahnschrift"/>
      <family val="2"/>
    </font>
    <font>
      <b/>
      <sz val="11"/>
      <color theme="1"/>
      <name val="Calibri"/>
      <family val="2"/>
      <scheme val="minor"/>
    </font>
    <font>
      <sz val="9"/>
      <color rgb="FF000000"/>
      <name val="Arial"/>
    </font>
    <font>
      <b/>
      <sz val="9"/>
      <color rgb="FF000000"/>
      <name val="Arial"/>
    </font>
    <font>
      <sz val="8.5"/>
      <color rgb="FF000000"/>
      <name val="Arial"/>
      <family val="2"/>
      <charset val="1"/>
    </font>
    <font>
      <b/>
      <sz val="8.5"/>
      <color rgb="FF000000"/>
      <name val="Arial"/>
      <family val="2"/>
      <charset val="1"/>
    </font>
    <font>
      <sz val="8.5"/>
      <color rgb="FF000000"/>
      <name val="Arial"/>
    </font>
    <font>
      <sz val="10"/>
      <color theme="1"/>
      <name val="Bahnschrift"/>
    </font>
    <font>
      <sz val="10"/>
      <color rgb="FF000000"/>
      <name val="Bahnschrift"/>
    </font>
    <font>
      <b/>
      <sz val="10"/>
      <color rgb="FF000000"/>
      <name val="Bahnschrift"/>
    </font>
    <font>
      <sz val="10"/>
      <color rgb="FF000000"/>
      <name val="Bahnschrift"/>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center" vertical="center"/>
    </xf>
    <xf numFmtId="0" fontId="4" fillId="0" borderId="1" xfId="0" applyFont="1" applyBorder="1" applyAlignment="1">
      <alignment horizontal="center" vertical="center"/>
    </xf>
    <xf numFmtId="0" fontId="0" fillId="0" borderId="0" xfId="0" applyAlignment="1">
      <alignment horizontal="center" vertical="center"/>
    </xf>
    <xf numFmtId="0" fontId="4" fillId="0" borderId="0" xfId="0" applyFont="1" applyAlignment="1">
      <alignment horizontal="center" vertical="center"/>
    </xf>
    <xf numFmtId="0" fontId="5" fillId="0" borderId="0" xfId="0" applyFont="1" applyAlignment="1">
      <alignment wrapText="1" readingOrder="1"/>
    </xf>
    <xf numFmtId="0" fontId="7" fillId="0" borderId="0" xfId="0" applyFont="1" applyAlignment="1">
      <alignment horizontal="center" vertical="center" wrapText="1" readingOrder="1"/>
    </xf>
    <xf numFmtId="0" fontId="9" fillId="0" borderId="0" xfId="0" applyFont="1" applyAlignment="1">
      <alignment horizontal="center" vertical="center" wrapText="1" readingOrder="1"/>
    </xf>
    <xf numFmtId="0" fontId="10" fillId="0" borderId="0" xfId="0" applyFont="1" applyAlignment="1">
      <alignment horizontal="center"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4" fillId="0" borderId="0" xfId="0" applyFont="1" applyBorder="1" applyAlignment="1">
      <alignment horizontal="center" vertical="center"/>
    </xf>
    <xf numFmtId="0" fontId="2" fillId="0" borderId="0" xfId="0" applyFont="1" applyBorder="1" applyAlignment="1">
      <alignment horizontal="center" vertical="center" wrapText="1"/>
    </xf>
  </cellXfs>
  <cellStyles count="1">
    <cellStyle name="Normal" xfId="0" builtinId="0"/>
  </cellStyles>
  <dxfs count="17">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Bahnschrift"/>
        <family val="2"/>
        <scheme val="none"/>
      </font>
      <alignment horizontal="center" vertical="center" textRotation="0" wrapText="1" indent="0" justifyLastLine="0" shrinkToFit="0" readingOrder="0"/>
    </dxf>
    <dxf>
      <font>
        <b/>
        <i val="0"/>
        <strike val="0"/>
        <condense val="0"/>
        <extend val="0"/>
        <outline val="0"/>
        <shadow val="0"/>
        <u val="none"/>
        <vertAlign val="baseline"/>
        <sz val="10"/>
        <color auto="1"/>
        <name val="Bahnschrift"/>
        <family val="2"/>
        <scheme val="none"/>
      </font>
      <alignment horizontal="center" vertical="center" textRotation="0" wrapText="1"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E211CE-514A-4B99-8B1A-313DD1F40A3E}" name="Table1" displayName="Table1" ref="A1:O670" totalsRowShown="0" headerRowDxfId="16" dataDxfId="15">
  <autoFilter ref="A1:O670" xr:uid="{7BE211CE-514A-4B99-8B1A-313DD1F40A3E}"/>
  <sortState xmlns:xlrd2="http://schemas.microsoft.com/office/spreadsheetml/2017/richdata2" ref="A2:O670">
    <sortCondition ref="B1:B670"/>
  </sortState>
  <tableColumns count="15">
    <tableColumn id="1" xr3:uid="{60ED3EA6-1771-4976-A05B-797A0E503AE9}" name="Chat Name" dataDxfId="14"/>
    <tableColumn id="2" xr3:uid="{256904AD-9CD8-40A4-A670-5A6FFCF6CF4B}" name="Name" dataDxfId="13">
      <calculatedColumnFormula>TRIM(Table1[[#This Row],[Chat Name]])</calculatedColumnFormula>
    </tableColumn>
    <tableColumn id="3" xr3:uid="{89D03C08-2710-44E9-BF0D-E5DF0CE77FD5}" name="Tier" dataDxfId="12"/>
    <tableColumn id="4" xr3:uid="{BF3CD29A-1060-4237-9F29-91CD14FD00C9}" name="Points" dataDxfId="11"/>
    <tableColumn id="5" xr3:uid="{860527DF-E963-434D-9580-2C4BB6B9E2FB}" name="School" dataDxfId="10"/>
    <tableColumn id="6" xr3:uid="{E850C89E-B282-499D-AFAC-DB8627A6C018}" name="V" dataDxfId="9"/>
    <tableColumn id="7" xr3:uid="{16578AE8-B6D8-4CD7-BE0A-F7D91CBED8A6}" name="S" dataDxfId="8"/>
    <tableColumn id="8" xr3:uid="{48F815C5-AA5C-466C-B537-0E09109B00DE}" name="Casting Time" dataDxfId="7"/>
    <tableColumn id="9" xr3:uid="{24BDB5CB-450A-468D-8F3C-64AE65CAD07C}" name="Concentration" dataDxfId="6"/>
    <tableColumn id="10" xr3:uid="{5C4F6FBC-B080-401E-98E7-35E6509C16D8}" name="Duration" dataDxfId="5"/>
    <tableColumn id="11" xr3:uid="{37700834-E573-4507-B044-4D5D5F8FB19B}" name="Range" dataDxfId="4"/>
    <tableColumn id="12" xr3:uid="{49479D90-6DEB-48B1-83E1-43E12608AF65}" name="Rite" dataDxfId="3"/>
    <tableColumn id="13" xr3:uid="{882DF00F-E69A-41DD-BAAE-EB8701F9807E}" name="Old Text" dataDxfId="2"/>
    <tableColumn id="14" xr3:uid="{56A7BABD-55FB-44F9-AE1D-862356ECFE56}" name="New Text" dataDxfId="1"/>
    <tableColumn id="15" xr3:uid="{1F8F4673-F750-4865-A205-A831C23D9861}" name="Higher Tiers" dataDxfId="0"/>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671"/>
  <sheetViews>
    <sheetView tabSelected="1" zoomScale="75" zoomScaleNormal="70" workbookViewId="0">
      <selection activeCell="A2" sqref="A2"/>
    </sheetView>
  </sheetViews>
  <sheetFormatPr defaultRowHeight="14.45"/>
  <cols>
    <col min="1" max="1" width="19" bestFit="1" customWidth="1"/>
    <col min="2" max="2" width="26.42578125" customWidth="1"/>
    <col min="6" max="7" width="8.85546875" style="6"/>
    <col min="8" max="8" width="56.7109375" customWidth="1"/>
    <col min="9" max="9" width="13.5703125" customWidth="1"/>
    <col min="10" max="10" width="36.42578125" customWidth="1"/>
    <col min="11" max="11" width="27.5703125" customWidth="1"/>
    <col min="12" max="12" width="14.42578125" customWidth="1"/>
    <col min="13" max="13" width="51.140625" customWidth="1"/>
    <col min="14" max="14" width="53" customWidth="1"/>
    <col min="15" max="15" width="35.28515625" customWidth="1"/>
    <col min="16" max="16" width="34.28515625" style="13" customWidth="1"/>
  </cols>
  <sheetData>
    <row r="1" spans="1:16">
      <c r="A1" s="4" t="s">
        <v>0</v>
      </c>
      <c r="B1" s="1" t="s">
        <v>1</v>
      </c>
      <c r="C1" s="1" t="s">
        <v>2</v>
      </c>
      <c r="D1" s="1" t="s">
        <v>3</v>
      </c>
      <c r="E1" s="1" t="s">
        <v>4</v>
      </c>
      <c r="F1" s="5" t="s">
        <v>5</v>
      </c>
      <c r="G1" s="5" t="s">
        <v>6</v>
      </c>
      <c r="H1" s="1" t="s">
        <v>7</v>
      </c>
      <c r="I1" s="1" t="s">
        <v>8</v>
      </c>
      <c r="J1" s="1" t="s">
        <v>9</v>
      </c>
      <c r="K1" s="1" t="s">
        <v>10</v>
      </c>
      <c r="L1" s="1" t="s">
        <v>11</v>
      </c>
      <c r="M1" s="1" t="s">
        <v>12</v>
      </c>
      <c r="N1" s="1" t="s">
        <v>13</v>
      </c>
      <c r="O1" s="1" t="s">
        <v>14</v>
      </c>
      <c r="P1" s="13" t="s">
        <v>14</v>
      </c>
    </row>
    <row r="2" spans="1:16" ht="43.5" customHeight="1">
      <c r="A2" s="3" t="s">
        <v>15</v>
      </c>
      <c r="B2" s="15" t="s">
        <v>16</v>
      </c>
      <c r="C2" s="15">
        <v>5</v>
      </c>
      <c r="D2" s="15">
        <v>21</v>
      </c>
      <c r="E2" s="15" t="s">
        <v>17</v>
      </c>
      <c r="F2" s="14" t="b">
        <v>0</v>
      </c>
      <c r="G2" s="14" t="b">
        <v>1</v>
      </c>
      <c r="H2" s="15" t="s">
        <v>18</v>
      </c>
      <c r="I2" s="15" t="b">
        <v>0</v>
      </c>
      <c r="J2" s="15" t="s">
        <v>19</v>
      </c>
      <c r="K2" s="15" t="s">
        <v>20</v>
      </c>
      <c r="L2" s="15" t="b">
        <v>1</v>
      </c>
      <c r="M2" s="15"/>
      <c r="N2" s="15" t="s">
        <v>21</v>
      </c>
      <c r="O2" s="15"/>
    </row>
    <row r="3" spans="1:16" ht="45.75" customHeight="1">
      <c r="A3" s="3" t="s">
        <v>22</v>
      </c>
      <c r="B3" s="15" t="str">
        <f>TRIM(Table1[[#This Row],[Chat Name]])</f>
        <v>Shadow Enchantment</v>
      </c>
      <c r="C3" s="15">
        <v>4</v>
      </c>
      <c r="D3" s="15">
        <v>15</v>
      </c>
      <c r="E3" s="15" t="s">
        <v>23</v>
      </c>
      <c r="F3" s="14" t="b">
        <v>1</v>
      </c>
      <c r="G3" s="14" t="b">
        <v>0</v>
      </c>
      <c r="H3" s="15" t="s">
        <v>24</v>
      </c>
      <c r="I3" s="15" t="b">
        <v>0</v>
      </c>
      <c r="J3" s="15" t="s">
        <v>25</v>
      </c>
      <c r="K3" s="15" t="s">
        <v>26</v>
      </c>
      <c r="L3" s="15" t="b">
        <v>1</v>
      </c>
      <c r="M3" s="15"/>
      <c r="N3" s="15" t="s">
        <v>27</v>
      </c>
      <c r="O3" s="15" t="s">
        <v>28</v>
      </c>
    </row>
    <row r="4" spans="1:16" ht="60" customHeight="1">
      <c r="A4" s="3" t="s">
        <v>29</v>
      </c>
      <c r="B4" s="15" t="str">
        <f>TRIM(Table1[[#This Row],[Chat Name]])</f>
        <v>Borrowed Time</v>
      </c>
      <c r="C4" s="15">
        <v>3</v>
      </c>
      <c r="D4" s="15">
        <v>9</v>
      </c>
      <c r="E4" s="15" t="s">
        <v>30</v>
      </c>
      <c r="F4" s="14" t="b">
        <v>0</v>
      </c>
      <c r="G4" s="14" t="b">
        <v>1</v>
      </c>
      <c r="H4" s="15" t="s">
        <v>31</v>
      </c>
      <c r="I4" s="15" t="b">
        <v>0</v>
      </c>
      <c r="J4" s="15" t="s">
        <v>19</v>
      </c>
      <c r="K4" s="15" t="s">
        <v>26</v>
      </c>
      <c r="L4" s="15" t="b">
        <v>0</v>
      </c>
      <c r="M4" s="15"/>
      <c r="N4" s="15" t="s">
        <v>32</v>
      </c>
      <c r="O4" s="15"/>
    </row>
    <row r="5" spans="1:16" ht="73.5" customHeight="1">
      <c r="A5" s="3" t="s">
        <v>33</v>
      </c>
      <c r="B5" s="15" t="str">
        <f>TRIM(Table1[[#This Row],[Chat Name]])</f>
        <v>Shadow Scribe</v>
      </c>
      <c r="C5" s="15">
        <v>2</v>
      </c>
      <c r="D5" s="15">
        <v>6</v>
      </c>
      <c r="E5" s="15" t="s">
        <v>23</v>
      </c>
      <c r="F5" s="14" t="b">
        <v>1</v>
      </c>
      <c r="G5" s="14" t="b">
        <v>0</v>
      </c>
      <c r="H5" s="15" t="s">
        <v>34</v>
      </c>
      <c r="I5" s="15" t="b">
        <v>0</v>
      </c>
      <c r="J5" s="15" t="s">
        <v>35</v>
      </c>
      <c r="K5" s="15" t="s">
        <v>26</v>
      </c>
      <c r="L5" s="15" t="b">
        <v>0</v>
      </c>
      <c r="M5" s="15"/>
      <c r="N5" s="15" t="s">
        <v>36</v>
      </c>
      <c r="O5" s="15" t="s">
        <v>37</v>
      </c>
    </row>
    <row r="6" spans="1:16" ht="53.25" customHeight="1">
      <c r="A6" s="3" t="s">
        <v>38</v>
      </c>
      <c r="B6" s="15" t="str">
        <f>TRIM(Table1[[#This Row],[Chat Name]])</f>
        <v>Ghrian's Bane</v>
      </c>
      <c r="C6" s="15">
        <v>11</v>
      </c>
      <c r="D6" s="15">
        <v>78</v>
      </c>
      <c r="E6" s="15" t="s">
        <v>17</v>
      </c>
      <c r="F6" s="14" t="b">
        <v>0</v>
      </c>
      <c r="G6" s="14" t="b">
        <v>1</v>
      </c>
      <c r="H6" s="15" t="s">
        <v>39</v>
      </c>
      <c r="I6" s="15" t="b">
        <v>0</v>
      </c>
      <c r="J6" s="15" t="s">
        <v>40</v>
      </c>
      <c r="K6" s="15" t="s">
        <v>41</v>
      </c>
      <c r="L6" s="15" t="b">
        <v>0</v>
      </c>
      <c r="M6" s="15"/>
      <c r="N6" s="15" t="s">
        <v>42</v>
      </c>
      <c r="O6" s="15"/>
    </row>
    <row r="7" spans="1:16" ht="72.75" customHeight="1">
      <c r="A7" s="3" t="s">
        <v>43</v>
      </c>
      <c r="B7" s="15" t="str">
        <f>TRIM(Table1[[#This Row],[Chat Name]])</f>
        <v>Void of Nullification</v>
      </c>
      <c r="C7" s="15">
        <v>12</v>
      </c>
      <c r="D7" s="15">
        <v>90</v>
      </c>
      <c r="E7" s="15" t="s">
        <v>17</v>
      </c>
      <c r="F7" s="14" t="b">
        <v>0</v>
      </c>
      <c r="G7" s="14" t="b">
        <v>1</v>
      </c>
      <c r="H7" s="15" t="s">
        <v>44</v>
      </c>
      <c r="I7" s="15" t="b">
        <v>1</v>
      </c>
      <c r="J7" s="15" t="s">
        <v>39</v>
      </c>
      <c r="K7" s="15" t="s">
        <v>45</v>
      </c>
      <c r="L7" s="15" t="b">
        <v>0</v>
      </c>
      <c r="M7" s="15"/>
      <c r="N7" s="15" t="s">
        <v>46</v>
      </c>
      <c r="O7" s="15"/>
    </row>
    <row r="8" spans="1:16" ht="60" customHeight="1">
      <c r="A8" s="3" t="s">
        <v>47</v>
      </c>
      <c r="B8" s="15" t="str">
        <f>TRIM(Table1[[#This Row],[Chat Name]])</f>
        <v>Reaper of the Abyss</v>
      </c>
      <c r="C8" s="15">
        <v>7</v>
      </c>
      <c r="D8" s="15">
        <v>45</v>
      </c>
      <c r="E8" s="15" t="s">
        <v>17</v>
      </c>
      <c r="F8" s="14" t="b">
        <v>0</v>
      </c>
      <c r="G8" s="14" t="b">
        <v>1</v>
      </c>
      <c r="H8" s="15" t="s">
        <v>34</v>
      </c>
      <c r="I8" s="15" t="b">
        <v>0</v>
      </c>
      <c r="J8" s="15" t="s">
        <v>19</v>
      </c>
      <c r="K8" s="15" t="s">
        <v>48</v>
      </c>
      <c r="L8" s="15" t="b">
        <v>0</v>
      </c>
      <c r="M8" s="15"/>
      <c r="N8" s="15" t="s">
        <v>49</v>
      </c>
      <c r="O8" s="15" t="s">
        <v>50</v>
      </c>
    </row>
    <row r="9" spans="1:16" ht="42.75" customHeight="1">
      <c r="A9" s="3" t="s">
        <v>51</v>
      </c>
      <c r="B9" s="15" t="str">
        <f>TRIM(Table1[[#This Row],[Chat Name]])</f>
        <v>Tenebrous Tether</v>
      </c>
      <c r="C9" s="15">
        <v>6</v>
      </c>
      <c r="D9" s="15">
        <v>27</v>
      </c>
      <c r="E9" s="15" t="s">
        <v>23</v>
      </c>
      <c r="F9" s="14" t="b">
        <v>1</v>
      </c>
      <c r="G9" s="14" t="b">
        <v>0</v>
      </c>
      <c r="H9" s="15" t="s">
        <v>34</v>
      </c>
      <c r="I9" s="15" t="b">
        <v>0</v>
      </c>
      <c r="J9" s="15" t="s">
        <v>39</v>
      </c>
      <c r="K9" s="15" t="s">
        <v>52</v>
      </c>
      <c r="L9" s="15" t="b">
        <v>0</v>
      </c>
      <c r="M9" s="15"/>
      <c r="N9" s="15" t="s">
        <v>53</v>
      </c>
      <c r="O9" s="15" t="s">
        <v>54</v>
      </c>
    </row>
    <row r="10" spans="1:16" ht="57.75" customHeight="1">
      <c r="A10" s="3" t="s">
        <v>55</v>
      </c>
      <c r="B10" s="15" t="str">
        <f>TRIM(Table1[[#This Row],[Chat Name]])</f>
        <v>Silent Confessions</v>
      </c>
      <c r="C10" s="15">
        <v>7</v>
      </c>
      <c r="D10" s="15">
        <v>36</v>
      </c>
      <c r="E10" s="15" t="s">
        <v>23</v>
      </c>
      <c r="F10" s="14" t="b">
        <v>1</v>
      </c>
      <c r="G10" s="14" t="b">
        <v>0</v>
      </c>
      <c r="H10" s="15" t="s">
        <v>34</v>
      </c>
      <c r="I10" s="15" t="b">
        <v>1</v>
      </c>
      <c r="J10" s="15" t="s">
        <v>39</v>
      </c>
      <c r="K10" s="15" t="s">
        <v>56</v>
      </c>
      <c r="L10" s="15" t="b">
        <v>1</v>
      </c>
      <c r="M10" s="15"/>
      <c r="N10" s="15" t="s">
        <v>57</v>
      </c>
      <c r="O10" s="15"/>
    </row>
    <row r="11" spans="1:16" ht="55.5" customHeight="1">
      <c r="A11" s="3" t="s">
        <v>58</v>
      </c>
      <c r="B11" s="15" t="str">
        <f>TRIM(Table1[[#This Row],[Chat Name]])</f>
        <v>Flickering Scry</v>
      </c>
      <c r="C11" s="15">
        <v>5</v>
      </c>
      <c r="D11" s="15">
        <v>21</v>
      </c>
      <c r="E11" s="15" t="s">
        <v>23</v>
      </c>
      <c r="F11" s="14" t="b">
        <v>1</v>
      </c>
      <c r="G11" s="14" t="b">
        <v>0</v>
      </c>
      <c r="H11" s="15" t="s">
        <v>34</v>
      </c>
      <c r="I11" s="15" t="b">
        <v>1</v>
      </c>
      <c r="J11" s="15" t="s">
        <v>18</v>
      </c>
      <c r="K11" s="15" t="s">
        <v>59</v>
      </c>
      <c r="L11" s="15" t="b">
        <v>1</v>
      </c>
      <c r="M11" s="15"/>
      <c r="N11" s="15" t="s">
        <v>60</v>
      </c>
      <c r="O11" s="15"/>
    </row>
    <row r="12" spans="1:16" ht="56.25" customHeight="1">
      <c r="A12" s="3" t="s">
        <v>61</v>
      </c>
      <c r="B12" s="15" t="str">
        <f>TRIM(Table1[[#This Row],[Chat Name]])</f>
        <v>Living Shadow</v>
      </c>
      <c r="C12" s="15">
        <v>6</v>
      </c>
      <c r="D12" s="15">
        <v>27</v>
      </c>
      <c r="E12" s="15" t="s">
        <v>17</v>
      </c>
      <c r="F12" s="14" t="b">
        <v>0</v>
      </c>
      <c r="G12" s="14" t="b">
        <v>1</v>
      </c>
      <c r="H12" s="15" t="s">
        <v>34</v>
      </c>
      <c r="I12" s="15" t="b">
        <v>1</v>
      </c>
      <c r="J12" s="15" t="s">
        <v>35</v>
      </c>
      <c r="K12" s="15" t="s">
        <v>59</v>
      </c>
      <c r="L12" s="15" t="b">
        <v>1</v>
      </c>
      <c r="M12" s="15"/>
      <c r="N12" s="15" t="s">
        <v>62</v>
      </c>
      <c r="O12" s="15"/>
    </row>
    <row r="13" spans="1:16" ht="60" customHeight="1">
      <c r="A13" s="3" t="s">
        <v>63</v>
      </c>
      <c r="B13" s="15" t="str">
        <f>TRIM(Table1[[#This Row],[Chat Name]])</f>
        <v>Abyssal Prison</v>
      </c>
      <c r="C13" s="15">
        <v>6</v>
      </c>
      <c r="D13" s="15">
        <v>27</v>
      </c>
      <c r="E13" s="15" t="s">
        <v>17</v>
      </c>
      <c r="F13" s="14" t="b">
        <v>0</v>
      </c>
      <c r="G13" s="14" t="b">
        <v>1</v>
      </c>
      <c r="H13" s="15" t="s">
        <v>34</v>
      </c>
      <c r="I13" s="15" t="b">
        <v>1</v>
      </c>
      <c r="J13" s="15" t="s">
        <v>39</v>
      </c>
      <c r="K13" s="15" t="s">
        <v>64</v>
      </c>
      <c r="L13" s="15" t="b">
        <v>0</v>
      </c>
      <c r="M13" s="15"/>
      <c r="N13" s="15" t="s">
        <v>65</v>
      </c>
      <c r="O13" s="15"/>
    </row>
    <row r="14" spans="1:16" ht="81.75" customHeight="1">
      <c r="A14" s="3" t="s">
        <v>66</v>
      </c>
      <c r="B14" s="15" t="str">
        <f>TRIM(Table1[[#This Row],[Chat Name]])</f>
        <v>Manipulate Shadows</v>
      </c>
      <c r="C14" s="15">
        <v>0</v>
      </c>
      <c r="D14" s="15">
        <v>0</v>
      </c>
      <c r="E14" s="15" t="s">
        <v>23</v>
      </c>
      <c r="F14" s="14" t="b">
        <v>1</v>
      </c>
      <c r="G14" s="14" t="b">
        <v>0</v>
      </c>
      <c r="H14" s="15" t="s">
        <v>34</v>
      </c>
      <c r="I14" s="15" t="b">
        <v>1</v>
      </c>
      <c r="J14" s="15" t="s">
        <v>39</v>
      </c>
      <c r="K14" s="15" t="s">
        <v>52</v>
      </c>
      <c r="L14" s="15" t="b">
        <v>0</v>
      </c>
      <c r="M14" s="15"/>
      <c r="N14" s="15" t="s">
        <v>67</v>
      </c>
      <c r="O14" s="15"/>
    </row>
    <row r="15" spans="1:16" ht="84.75" customHeight="1">
      <c r="A15" s="3" t="s">
        <v>68</v>
      </c>
      <c r="B15" s="15" t="str">
        <f>TRIM(Table1[[#This Row],[Chat Name]])</f>
        <v>Dancing Darkness</v>
      </c>
      <c r="C15" s="15">
        <v>0</v>
      </c>
      <c r="D15" s="15">
        <v>0</v>
      </c>
      <c r="E15" s="15" t="s">
        <v>23</v>
      </c>
      <c r="F15" s="14" t="b">
        <v>1</v>
      </c>
      <c r="G15" s="14" t="b">
        <v>0</v>
      </c>
      <c r="H15" s="15" t="s">
        <v>34</v>
      </c>
      <c r="I15" s="15" t="b">
        <v>1</v>
      </c>
      <c r="J15" s="15" t="s">
        <v>39</v>
      </c>
      <c r="K15" s="15" t="s">
        <v>45</v>
      </c>
      <c r="L15" s="15" t="b">
        <v>0</v>
      </c>
      <c r="M15" s="15"/>
      <c r="N15" s="15" t="s">
        <v>69</v>
      </c>
      <c r="O15" s="15"/>
    </row>
    <row r="16" spans="1:16" ht="111.75">
      <c r="A16" s="3" t="s">
        <v>70</v>
      </c>
      <c r="B16" s="15" t="str">
        <f>TRIM(Table1[[#This Row],[Chat Name]])</f>
        <v>Maze of Shades</v>
      </c>
      <c r="C16" s="15">
        <v>5</v>
      </c>
      <c r="D16" s="15">
        <v>21</v>
      </c>
      <c r="E16" s="15" t="s">
        <v>23</v>
      </c>
      <c r="F16" s="14" t="b">
        <v>1</v>
      </c>
      <c r="G16" s="14" t="b">
        <v>0</v>
      </c>
      <c r="H16" s="15" t="s">
        <v>34</v>
      </c>
      <c r="I16" s="15" t="b">
        <v>1</v>
      </c>
      <c r="J16" s="15" t="s">
        <v>39</v>
      </c>
      <c r="K16" s="15" t="s">
        <v>64</v>
      </c>
      <c r="L16" s="15" t="b">
        <v>0</v>
      </c>
      <c r="M16" s="15"/>
      <c r="N16" s="15" t="s">
        <v>71</v>
      </c>
      <c r="O16" s="15"/>
    </row>
    <row r="17" spans="1:15" ht="174">
      <c r="A17" s="3" t="s">
        <v>72</v>
      </c>
      <c r="B17" s="2" t="str">
        <f>TRIM(Table1[[#This Row],[Chat Name]])</f>
        <v>Ventriloquism</v>
      </c>
      <c r="C17" s="2">
        <v>0</v>
      </c>
      <c r="D17" s="2">
        <v>0</v>
      </c>
      <c r="E17" s="2" t="s">
        <v>73</v>
      </c>
      <c r="F17" s="7" t="b">
        <v>0</v>
      </c>
      <c r="G17" s="7" t="b">
        <v>1</v>
      </c>
      <c r="H17" s="2" t="s">
        <v>34</v>
      </c>
      <c r="I17" s="2" t="b">
        <v>1</v>
      </c>
      <c r="J17" s="2" t="s">
        <v>39</v>
      </c>
      <c r="K17" s="2" t="s">
        <v>56</v>
      </c>
      <c r="L17" s="2" t="b">
        <v>0</v>
      </c>
      <c r="M17" s="2"/>
      <c r="N17" s="2" t="s">
        <v>74</v>
      </c>
      <c r="O17" s="2"/>
    </row>
    <row r="18" spans="1:15" ht="62.25">
      <c r="A18" s="3" t="s">
        <v>75</v>
      </c>
      <c r="B18" s="2" t="str">
        <f>TRIM(Table1[[#This Row],[Chat Name]])</f>
        <v>Spatial Shunt</v>
      </c>
      <c r="C18" s="2">
        <v>0</v>
      </c>
      <c r="D18" s="2">
        <v>0</v>
      </c>
      <c r="E18" s="2" t="s">
        <v>30</v>
      </c>
      <c r="F18" s="7" t="b">
        <v>0</v>
      </c>
      <c r="G18" s="7" t="b">
        <v>1</v>
      </c>
      <c r="H18" s="2" t="s">
        <v>34</v>
      </c>
      <c r="I18" s="2" t="b">
        <v>0</v>
      </c>
      <c r="J18" s="2" t="s">
        <v>19</v>
      </c>
      <c r="K18" s="2" t="s">
        <v>64</v>
      </c>
      <c r="L18" s="2" t="b">
        <v>0</v>
      </c>
      <c r="M18" s="2"/>
      <c r="N18" s="2" t="s">
        <v>76</v>
      </c>
      <c r="O18" s="2" t="s">
        <v>77</v>
      </c>
    </row>
    <row r="19" spans="1:15" ht="15">
      <c r="A19" s="3" t="s">
        <v>78</v>
      </c>
      <c r="B19" s="2" t="str">
        <f>TRIM(Table1[[#This Row],[Chat Name]])</f>
        <v>Consultation</v>
      </c>
      <c r="C19" s="2">
        <v>0</v>
      </c>
      <c r="D19" s="2">
        <v>0</v>
      </c>
      <c r="E19" s="2" t="s">
        <v>73</v>
      </c>
      <c r="F19" s="7" t="b">
        <v>0</v>
      </c>
      <c r="G19" s="7" t="b">
        <v>1</v>
      </c>
      <c r="H19" s="2" t="s">
        <v>34</v>
      </c>
      <c r="I19" s="2" t="b">
        <v>1</v>
      </c>
      <c r="J19" s="2" t="s">
        <v>39</v>
      </c>
      <c r="K19" s="2" t="s">
        <v>59</v>
      </c>
      <c r="L19" s="2" t="b">
        <v>0</v>
      </c>
      <c r="M19" s="2"/>
      <c r="N19" s="2"/>
      <c r="O19" s="2"/>
    </row>
    <row r="20" spans="1:15" ht="24.75">
      <c r="A20" s="3" t="s">
        <v>79</v>
      </c>
      <c r="B20" s="2" t="str">
        <f>TRIM(Table1[[#This Row],[Chat Name]])</f>
        <v>Pictura</v>
      </c>
      <c r="C20" s="2">
        <v>1</v>
      </c>
      <c r="D20" s="2">
        <v>3</v>
      </c>
      <c r="E20" s="2" t="s">
        <v>80</v>
      </c>
      <c r="F20" s="7" t="b">
        <v>0</v>
      </c>
      <c r="G20" s="7" t="b">
        <v>1</v>
      </c>
      <c r="H20" s="2" t="s">
        <v>34</v>
      </c>
      <c r="I20" s="2" t="b">
        <v>0</v>
      </c>
      <c r="J20" s="2" t="s">
        <v>19</v>
      </c>
      <c r="K20" s="2" t="s">
        <v>59</v>
      </c>
      <c r="L20" s="2" t="b">
        <v>1</v>
      </c>
      <c r="M20" s="2"/>
      <c r="N20" s="2" t="s">
        <v>81</v>
      </c>
      <c r="O20" s="2"/>
    </row>
    <row r="21" spans="1:15" ht="409.5">
      <c r="A21" s="3" t="s">
        <v>82</v>
      </c>
      <c r="B21" s="2" t="str">
        <f>TRIM(Table1[[#This Row],[Chat Name]])</f>
        <v>Scry</v>
      </c>
      <c r="C21" s="2">
        <v>5</v>
      </c>
      <c r="D21" s="2">
        <v>21</v>
      </c>
      <c r="E21" s="2" t="s">
        <v>30</v>
      </c>
      <c r="F21" s="7" t="b">
        <v>0</v>
      </c>
      <c r="G21" s="7" t="b">
        <v>1</v>
      </c>
      <c r="H21" s="2" t="s">
        <v>34</v>
      </c>
      <c r="I21" s="2" t="b">
        <v>1</v>
      </c>
      <c r="J21" s="2" t="s">
        <v>18</v>
      </c>
      <c r="K21" s="2" t="s">
        <v>59</v>
      </c>
      <c r="L21" s="2" t="b">
        <v>1</v>
      </c>
      <c r="M21" s="2"/>
      <c r="N21" s="2" t="s">
        <v>83</v>
      </c>
      <c r="O21" s="2"/>
    </row>
    <row r="22" spans="1:15" ht="61.5">
      <c r="A22" s="3" t="s">
        <v>84</v>
      </c>
      <c r="B22" s="2" t="str">
        <f>TRIM(Table1[[#This Row],[Chat Name]])</f>
        <v>Greater Mana Armor</v>
      </c>
      <c r="C22" s="2">
        <v>4</v>
      </c>
      <c r="D22" s="2">
        <v>15</v>
      </c>
      <c r="E22" s="2" t="s">
        <v>30</v>
      </c>
      <c r="F22" s="7" t="b">
        <v>0</v>
      </c>
      <c r="G22" s="7" t="b">
        <v>1</v>
      </c>
      <c r="H22" s="2" t="s">
        <v>34</v>
      </c>
      <c r="I22" s="2" t="b">
        <v>0</v>
      </c>
      <c r="J22" s="2" t="s">
        <v>40</v>
      </c>
      <c r="K22" s="2" t="s">
        <v>59</v>
      </c>
      <c r="L22" s="2" t="b">
        <v>1</v>
      </c>
      <c r="M22" s="2"/>
      <c r="N22" s="2" t="s">
        <v>85</v>
      </c>
      <c r="O22" s="2"/>
    </row>
    <row r="23" spans="1:15" ht="310.5">
      <c r="A23" s="3" t="s">
        <v>86</v>
      </c>
      <c r="B23" s="2" t="str">
        <f>TRIM(Table1[[#This Row],[Chat Name]])</f>
        <v>Nameless Smite</v>
      </c>
      <c r="C23" s="2">
        <v>6</v>
      </c>
      <c r="D23" s="2">
        <v>27</v>
      </c>
      <c r="E23" s="2" t="s">
        <v>73</v>
      </c>
      <c r="F23" s="7" t="b">
        <v>0</v>
      </c>
      <c r="G23" s="7" t="b">
        <v>1</v>
      </c>
      <c r="H23" s="2" t="s">
        <v>31</v>
      </c>
      <c r="I23" s="2" t="b">
        <v>1</v>
      </c>
      <c r="J23" s="2" t="s">
        <v>39</v>
      </c>
      <c r="K23" s="2" t="s">
        <v>59</v>
      </c>
      <c r="L23" s="2" t="b">
        <v>0</v>
      </c>
      <c r="M23" s="2"/>
      <c r="N23" s="2" t="s">
        <v>87</v>
      </c>
      <c r="O23" s="2" t="s">
        <v>88</v>
      </c>
    </row>
    <row r="24" spans="1:15" ht="196.9">
      <c r="A24" s="3" t="s">
        <v>89</v>
      </c>
      <c r="B24" s="2" t="str">
        <f>TRIM(Table1[[#This Row],[Chat Name]])</f>
        <v>Blighted Smite</v>
      </c>
      <c r="C24" s="2">
        <v>1</v>
      </c>
      <c r="D24" s="2">
        <v>3</v>
      </c>
      <c r="E24" s="2" t="s">
        <v>17</v>
      </c>
      <c r="F24" s="7" t="b">
        <v>0</v>
      </c>
      <c r="G24" s="7" t="b">
        <v>1</v>
      </c>
      <c r="H24" s="2" t="s">
        <v>31</v>
      </c>
      <c r="I24" s="2" t="b">
        <v>1</v>
      </c>
      <c r="J24" s="2" t="s">
        <v>39</v>
      </c>
      <c r="K24" s="2" t="s">
        <v>59</v>
      </c>
      <c r="L24" s="2" t="b">
        <v>0</v>
      </c>
      <c r="M24" s="2"/>
      <c r="N24" s="2" t="s">
        <v>90</v>
      </c>
      <c r="O24" s="2"/>
    </row>
    <row r="25" spans="1:15" ht="196.9">
      <c r="A25" s="3" t="s">
        <v>91</v>
      </c>
      <c r="B25" s="2" t="str">
        <f>TRIM(Table1[[#This Row],[Chat Name]])</f>
        <v>Siphoning Smite</v>
      </c>
      <c r="C25" s="2">
        <v>5</v>
      </c>
      <c r="D25" s="2">
        <v>21</v>
      </c>
      <c r="E25" s="2" t="s">
        <v>17</v>
      </c>
      <c r="F25" s="7" t="b">
        <v>0</v>
      </c>
      <c r="G25" s="7" t="b">
        <v>1</v>
      </c>
      <c r="H25" s="2" t="s">
        <v>31</v>
      </c>
      <c r="I25" s="2" t="b">
        <v>1</v>
      </c>
      <c r="J25" s="2" t="s">
        <v>39</v>
      </c>
      <c r="K25" s="2" t="s">
        <v>59</v>
      </c>
      <c r="L25" s="2" t="b">
        <v>0</v>
      </c>
      <c r="M25" s="2"/>
      <c r="N25" s="2" t="s">
        <v>92</v>
      </c>
      <c r="O25" s="2"/>
    </row>
    <row r="26" spans="1:15" ht="221.45">
      <c r="A26" s="3" t="s">
        <v>93</v>
      </c>
      <c r="B26" s="2" t="str">
        <f>TRIM(Table1[[#This Row],[Chat Name]])</f>
        <v>Ramming Smite</v>
      </c>
      <c r="C26" s="2">
        <v>3</v>
      </c>
      <c r="D26" s="2">
        <v>9</v>
      </c>
      <c r="E26" s="2" t="s">
        <v>80</v>
      </c>
      <c r="F26" s="7" t="b">
        <v>1</v>
      </c>
      <c r="G26" s="7" t="b">
        <v>0</v>
      </c>
      <c r="H26" s="2" t="s">
        <v>31</v>
      </c>
      <c r="I26" s="2" t="b">
        <v>1</v>
      </c>
      <c r="J26" s="2" t="s">
        <v>39</v>
      </c>
      <c r="K26" s="2" t="s">
        <v>59</v>
      </c>
      <c r="L26" s="2" t="b">
        <v>0</v>
      </c>
      <c r="M26" s="2"/>
      <c r="N26" s="2" t="s">
        <v>94</v>
      </c>
      <c r="O26" s="2"/>
    </row>
    <row r="27" spans="1:15" ht="159.94999999999999">
      <c r="A27" s="3" t="s">
        <v>95</v>
      </c>
      <c r="B27" s="2" t="str">
        <f>TRIM(Table1[[#This Row],[Chat Name]])</f>
        <v>Anchoring Smite</v>
      </c>
      <c r="C27" s="2">
        <v>4</v>
      </c>
      <c r="D27" s="2">
        <v>15</v>
      </c>
      <c r="E27" s="2" t="s">
        <v>96</v>
      </c>
      <c r="F27" s="7" t="b">
        <v>0</v>
      </c>
      <c r="G27" s="7" t="b">
        <v>1</v>
      </c>
      <c r="H27" s="2" t="s">
        <v>31</v>
      </c>
      <c r="I27" s="2" t="b">
        <v>1</v>
      </c>
      <c r="J27" s="2" t="s">
        <v>39</v>
      </c>
      <c r="K27" s="2" t="s">
        <v>59</v>
      </c>
      <c r="L27" s="2" t="b">
        <v>0</v>
      </c>
      <c r="M27" s="2"/>
      <c r="N27" s="2" t="s">
        <v>97</v>
      </c>
      <c r="O27" s="2"/>
    </row>
    <row r="28" spans="1:15" ht="123">
      <c r="A28" s="3" t="s">
        <v>98</v>
      </c>
      <c r="B28" s="2" t="str">
        <f>TRIM(Table1[[#This Row],[Chat Name]])</f>
        <v>Mass Vicious Mockery</v>
      </c>
      <c r="C28" s="2">
        <v>3</v>
      </c>
      <c r="D28" s="2">
        <v>9</v>
      </c>
      <c r="E28" s="2" t="s">
        <v>73</v>
      </c>
      <c r="F28" s="7" t="b">
        <v>0</v>
      </c>
      <c r="G28" s="7" t="b">
        <v>1</v>
      </c>
      <c r="H28" s="2" t="s">
        <v>34</v>
      </c>
      <c r="I28" s="2" t="b">
        <v>0</v>
      </c>
      <c r="J28" s="2" t="s">
        <v>19</v>
      </c>
      <c r="K28" s="2" t="s">
        <v>56</v>
      </c>
      <c r="L28" s="2" t="b">
        <v>0</v>
      </c>
      <c r="M28" s="2"/>
      <c r="N28" s="2" t="s">
        <v>99</v>
      </c>
      <c r="O28" s="2" t="s">
        <v>100</v>
      </c>
    </row>
    <row r="29" spans="1:15" ht="295.14999999999998">
      <c r="A29" s="3" t="s">
        <v>101</v>
      </c>
      <c r="B29" s="2" t="str">
        <f>TRIM(Table1[[#This Row],[Chat Name]])</f>
        <v>What are the Odds</v>
      </c>
      <c r="C29" s="2">
        <v>8</v>
      </c>
      <c r="D29" s="2">
        <v>45</v>
      </c>
      <c r="E29" s="2" t="s">
        <v>96</v>
      </c>
      <c r="F29" s="7" t="b">
        <v>0</v>
      </c>
      <c r="G29" s="7" t="b">
        <v>1</v>
      </c>
      <c r="H29" s="2" t="s">
        <v>34</v>
      </c>
      <c r="I29" s="2" t="b">
        <v>0</v>
      </c>
      <c r="J29" s="2" t="s">
        <v>19</v>
      </c>
      <c r="K29" s="2" t="s">
        <v>102</v>
      </c>
      <c r="L29" s="2" t="b">
        <v>0</v>
      </c>
      <c r="M29" s="2"/>
      <c r="N29" s="2" t="s">
        <v>103</v>
      </c>
      <c r="O29" s="2" t="s">
        <v>104</v>
      </c>
    </row>
    <row r="30" spans="1:15" ht="409.5">
      <c r="A30" s="3" t="s">
        <v>105</v>
      </c>
      <c r="B30" s="2" t="str">
        <f>TRIM(Table1[[#This Row],[Chat Name]])</f>
        <v>Gather Round the Campfire</v>
      </c>
      <c r="C30" s="2">
        <v>2</v>
      </c>
      <c r="D30" s="2">
        <v>6</v>
      </c>
      <c r="E30" s="2" t="s">
        <v>80</v>
      </c>
      <c r="F30" s="7" t="b">
        <v>1</v>
      </c>
      <c r="G30" s="7" t="b">
        <v>0</v>
      </c>
      <c r="H30" s="2" t="s">
        <v>39</v>
      </c>
      <c r="I30" s="2" t="b">
        <v>1</v>
      </c>
      <c r="J30" s="2" t="s">
        <v>35</v>
      </c>
      <c r="K30" s="2" t="s">
        <v>106</v>
      </c>
      <c r="L30" s="2" t="b">
        <v>1</v>
      </c>
      <c r="M30" s="2"/>
      <c r="N30" s="2" t="s">
        <v>107</v>
      </c>
      <c r="O30" s="2"/>
    </row>
    <row r="31" spans="1:15" ht="409.5">
      <c r="A31" s="3" t="s">
        <v>108</v>
      </c>
      <c r="B31" s="2" t="str">
        <f>TRIM(Table1[[#This Row],[Chat Name]])</f>
        <v>Wellspring Containment</v>
      </c>
      <c r="C31" s="2">
        <v>9</v>
      </c>
      <c r="D31" s="2">
        <v>54</v>
      </c>
      <c r="E31" s="2" t="s">
        <v>17</v>
      </c>
      <c r="F31" s="7" t="b">
        <v>0</v>
      </c>
      <c r="G31" s="7" t="b">
        <v>1</v>
      </c>
      <c r="H31" s="2" t="s">
        <v>39</v>
      </c>
      <c r="I31" s="2" t="b">
        <v>0</v>
      </c>
      <c r="J31" s="2" t="s">
        <v>109</v>
      </c>
      <c r="K31" s="2" t="s">
        <v>110</v>
      </c>
      <c r="L31" s="2" t="b">
        <v>0</v>
      </c>
      <c r="M31" s="2"/>
      <c r="N31" s="2" t="s">
        <v>111</v>
      </c>
      <c r="O31" s="2"/>
    </row>
    <row r="32" spans="1:15" ht="196.9">
      <c r="A32" s="3" t="s">
        <v>112</v>
      </c>
      <c r="B32" s="2" t="str">
        <f>TRIM(Table1[[#This Row],[Chat Name]])</f>
        <v>Mind Fracture</v>
      </c>
      <c r="C32" s="2">
        <v>6</v>
      </c>
      <c r="D32" s="2">
        <v>27</v>
      </c>
      <c r="E32" s="2" t="s">
        <v>73</v>
      </c>
      <c r="F32" s="7" t="b">
        <v>0</v>
      </c>
      <c r="G32" s="7" t="b">
        <v>1</v>
      </c>
      <c r="H32" s="2" t="s">
        <v>34</v>
      </c>
      <c r="I32" s="2" t="b">
        <v>0</v>
      </c>
      <c r="J32" s="2" t="s">
        <v>19</v>
      </c>
      <c r="K32" s="2" t="s">
        <v>45</v>
      </c>
      <c r="L32" s="2" t="b">
        <v>0</v>
      </c>
      <c r="M32" s="2"/>
      <c r="N32" s="2" t="s">
        <v>113</v>
      </c>
      <c r="O32" s="2" t="s">
        <v>88</v>
      </c>
    </row>
    <row r="33" spans="1:15" ht="409.5">
      <c r="A33" s="3" t="s">
        <v>114</v>
      </c>
      <c r="B33" s="2" t="str">
        <f>TRIM(Table1[[#This Row],[Chat Name]])</f>
        <v>Control Atmosphere</v>
      </c>
      <c r="C33" s="2">
        <v>12</v>
      </c>
      <c r="D33" s="2">
        <v>94</v>
      </c>
      <c r="E33" s="2" t="s">
        <v>23</v>
      </c>
      <c r="F33" s="7" t="b">
        <v>1</v>
      </c>
      <c r="G33" s="7" t="b">
        <v>0</v>
      </c>
      <c r="H33" s="2" t="s">
        <v>44</v>
      </c>
      <c r="I33" s="2" t="b">
        <v>1</v>
      </c>
      <c r="J33" s="2" t="s">
        <v>18</v>
      </c>
      <c r="K33" s="2" t="s">
        <v>115</v>
      </c>
      <c r="L33" s="2" t="b">
        <v>1</v>
      </c>
      <c r="M33" s="2"/>
      <c r="N33" s="2" t="s">
        <v>116</v>
      </c>
      <c r="O33" s="2"/>
    </row>
    <row r="34" spans="1:15" ht="258.39999999999998">
      <c r="A34" s="3" t="s">
        <v>117</v>
      </c>
      <c r="B34" s="2" t="str">
        <f>TRIM(Table1[[#This Row],[Chat Name]])</f>
        <v>Amputation</v>
      </c>
      <c r="C34" s="2">
        <v>9</v>
      </c>
      <c r="D34" s="2">
        <v>54</v>
      </c>
      <c r="E34" s="2" t="s">
        <v>17</v>
      </c>
      <c r="F34" s="7" t="b">
        <v>0</v>
      </c>
      <c r="G34" s="7" t="b">
        <v>1</v>
      </c>
      <c r="H34" s="2" t="s">
        <v>34</v>
      </c>
      <c r="I34" s="2" t="b">
        <v>0</v>
      </c>
      <c r="J34" s="2" t="s">
        <v>19</v>
      </c>
      <c r="K34" s="2" t="s">
        <v>56</v>
      </c>
      <c r="L34" s="2" t="b">
        <v>0</v>
      </c>
      <c r="M34" s="2"/>
      <c r="N34" s="2" t="s">
        <v>118</v>
      </c>
      <c r="O34" s="2" t="s">
        <v>119</v>
      </c>
    </row>
    <row r="35" spans="1:15" ht="258.39999999999998">
      <c r="A35" s="3" t="s">
        <v>120</v>
      </c>
      <c r="B35" s="2" t="str">
        <f>TRIM(Table1[[#This Row],[Chat Name]])</f>
        <v>Agron's Volt Strider</v>
      </c>
      <c r="C35" s="2">
        <v>9</v>
      </c>
      <c r="D35" s="2">
        <v>54</v>
      </c>
      <c r="E35" s="2" t="s">
        <v>96</v>
      </c>
      <c r="F35" s="7" t="b">
        <v>0</v>
      </c>
      <c r="G35" s="7" t="b">
        <v>1</v>
      </c>
      <c r="H35" s="2" t="s">
        <v>31</v>
      </c>
      <c r="I35" s="2" t="b">
        <v>1</v>
      </c>
      <c r="J35" s="2" t="s">
        <v>18</v>
      </c>
      <c r="K35" s="2" t="s">
        <v>121</v>
      </c>
      <c r="L35" s="2" t="b">
        <v>0</v>
      </c>
      <c r="M35" s="2"/>
      <c r="N35" s="12" t="s">
        <v>122</v>
      </c>
      <c r="O35" s="2" t="s">
        <v>123</v>
      </c>
    </row>
    <row r="36" spans="1:15" ht="356.65">
      <c r="A36" s="3" t="s">
        <v>124</v>
      </c>
      <c r="B36" s="2" t="str">
        <f>TRIM(Table1[[#This Row],[Chat Name]])</f>
        <v>Agron's Storm Creation</v>
      </c>
      <c r="C36" s="2">
        <v>7</v>
      </c>
      <c r="D36" s="2">
        <v>36</v>
      </c>
      <c r="E36" s="2" t="s">
        <v>96</v>
      </c>
      <c r="F36" s="7" t="b">
        <v>0</v>
      </c>
      <c r="G36" s="7" t="b">
        <v>1</v>
      </c>
      <c r="H36" s="2" t="s">
        <v>34</v>
      </c>
      <c r="I36" s="2" t="b">
        <v>1</v>
      </c>
      <c r="J36" s="2" t="s">
        <v>39</v>
      </c>
      <c r="K36" s="2" t="s">
        <v>125</v>
      </c>
      <c r="L36" s="2" t="b">
        <v>0</v>
      </c>
      <c r="M36" s="2"/>
      <c r="N36" s="2" t="s">
        <v>126</v>
      </c>
      <c r="O36" s="2" t="s">
        <v>127</v>
      </c>
    </row>
    <row r="37" spans="1:15" ht="381.4">
      <c r="A37" s="3" t="s">
        <v>128</v>
      </c>
      <c r="B37" s="2" t="str">
        <f>TRIM(Table1[[#This Row],[Chat Name]])</f>
        <v>Dominate Wellspring</v>
      </c>
      <c r="C37" s="2">
        <v>5</v>
      </c>
      <c r="D37" s="2">
        <v>21</v>
      </c>
      <c r="E37" s="2" t="s">
        <v>17</v>
      </c>
      <c r="F37" s="7" t="b">
        <v>0</v>
      </c>
      <c r="G37" s="7" t="b">
        <v>1</v>
      </c>
      <c r="H37" s="2" t="s">
        <v>34</v>
      </c>
      <c r="I37" s="2" t="b">
        <v>1</v>
      </c>
      <c r="J37" s="2" t="s">
        <v>35</v>
      </c>
      <c r="K37" s="2" t="s">
        <v>52</v>
      </c>
      <c r="L37" s="2" t="b">
        <v>0</v>
      </c>
      <c r="M37" s="2"/>
      <c r="N37" s="2" t="s">
        <v>129</v>
      </c>
      <c r="O37" s="2"/>
    </row>
    <row r="38" spans="1:15" ht="282.95">
      <c r="A38" s="3" t="s">
        <v>130</v>
      </c>
      <c r="B38" s="2" t="str">
        <f>TRIM(Table1[[#This Row],[Chat Name]])</f>
        <v>Summon Glass Eyes</v>
      </c>
      <c r="C38" s="2">
        <v>6</v>
      </c>
      <c r="D38" s="2">
        <v>27</v>
      </c>
      <c r="E38" s="2" t="s">
        <v>30</v>
      </c>
      <c r="F38" s="7" t="b">
        <v>0</v>
      </c>
      <c r="G38" s="7" t="b">
        <v>1</v>
      </c>
      <c r="H38" s="2" t="s">
        <v>34</v>
      </c>
      <c r="I38" s="2" t="b">
        <v>0</v>
      </c>
      <c r="J38" s="2" t="s">
        <v>131</v>
      </c>
      <c r="K38" s="2" t="s">
        <v>132</v>
      </c>
      <c r="L38" s="2" t="b">
        <v>1</v>
      </c>
      <c r="M38" s="2"/>
      <c r="N38" s="2" t="s">
        <v>133</v>
      </c>
      <c r="O38" s="2"/>
    </row>
    <row r="39" spans="1:15" ht="258.39999999999998">
      <c r="A39" s="3" t="s">
        <v>134</v>
      </c>
      <c r="B39" s="2" t="str">
        <f>TRIM(Table1[[#This Row],[Chat Name]])</f>
        <v>Bell of Judgment</v>
      </c>
      <c r="C39" s="2">
        <v>6</v>
      </c>
      <c r="D39" s="2">
        <v>27</v>
      </c>
      <c r="E39" s="2" t="s">
        <v>80</v>
      </c>
      <c r="F39" s="7" t="b">
        <v>1</v>
      </c>
      <c r="G39" s="7" t="b">
        <v>0</v>
      </c>
      <c r="H39" s="2" t="s">
        <v>34</v>
      </c>
      <c r="I39" s="2" t="b">
        <v>1</v>
      </c>
      <c r="J39" s="2" t="s">
        <v>39</v>
      </c>
      <c r="K39" s="2" t="s">
        <v>56</v>
      </c>
      <c r="L39" s="2" t="b">
        <v>0</v>
      </c>
      <c r="M39" s="2"/>
      <c r="N39" s="2" t="s">
        <v>135</v>
      </c>
      <c r="O39" s="2" t="s">
        <v>136</v>
      </c>
    </row>
    <row r="40" spans="1:15" ht="196.9">
      <c r="A40" s="3" t="s">
        <v>137</v>
      </c>
      <c r="B40" s="2" t="str">
        <f>TRIM(Table1[[#This Row],[Chat Name]])</f>
        <v>Animate Echoes</v>
      </c>
      <c r="C40" s="2">
        <v>4</v>
      </c>
      <c r="D40" s="2">
        <v>15</v>
      </c>
      <c r="E40" s="2" t="s">
        <v>30</v>
      </c>
      <c r="F40" s="7" t="b">
        <v>0</v>
      </c>
      <c r="G40" s="7" t="b">
        <v>1</v>
      </c>
      <c r="H40" s="2" t="s">
        <v>39</v>
      </c>
      <c r="I40" s="2" t="b">
        <v>1</v>
      </c>
      <c r="J40" s="2" t="s">
        <v>18</v>
      </c>
      <c r="K40" s="2" t="s">
        <v>59</v>
      </c>
      <c r="L40" s="2" t="b">
        <v>1</v>
      </c>
      <c r="M40" s="2"/>
      <c r="N40" s="2" t="s">
        <v>138</v>
      </c>
      <c r="O40" s="2"/>
    </row>
    <row r="41" spans="1:15" ht="110.65">
      <c r="A41" s="3" t="s">
        <v>139</v>
      </c>
      <c r="B41" s="2" t="str">
        <f>TRIM(Table1[[#This Row],[Chat Name]])</f>
        <v>Arleva's Ribbon</v>
      </c>
      <c r="C41" s="2">
        <v>4</v>
      </c>
      <c r="D41" s="2">
        <v>15</v>
      </c>
      <c r="E41" s="2" t="s">
        <v>17</v>
      </c>
      <c r="F41" s="7" t="b">
        <v>0</v>
      </c>
      <c r="G41" s="7" t="b">
        <v>1</v>
      </c>
      <c r="H41" s="2" t="s">
        <v>34</v>
      </c>
      <c r="I41" s="2" t="b">
        <v>1</v>
      </c>
      <c r="J41" s="2" t="s">
        <v>39</v>
      </c>
      <c r="K41" s="2" t="s">
        <v>140</v>
      </c>
      <c r="L41" s="2" t="b">
        <v>0</v>
      </c>
      <c r="M41" s="2"/>
      <c r="N41" s="2" t="s">
        <v>141</v>
      </c>
      <c r="O41" s="2" t="s">
        <v>142</v>
      </c>
    </row>
    <row r="42" spans="1:15" ht="110.65">
      <c r="A42" s="3" t="s">
        <v>143</v>
      </c>
      <c r="B42" s="2" t="str">
        <f>TRIM(Table1[[#This Row],[Chat Name]])</f>
        <v>Healing Pulse</v>
      </c>
      <c r="C42" s="2">
        <v>3</v>
      </c>
      <c r="D42" s="2">
        <v>9</v>
      </c>
      <c r="E42" s="2" t="s">
        <v>80</v>
      </c>
      <c r="F42" s="7" t="b">
        <v>1</v>
      </c>
      <c r="G42" s="7" t="b">
        <v>0</v>
      </c>
      <c r="H42" s="2" t="s">
        <v>34</v>
      </c>
      <c r="I42" s="2" t="b">
        <v>0</v>
      </c>
      <c r="J42" s="2" t="s">
        <v>144</v>
      </c>
      <c r="K42" s="2" t="s">
        <v>52</v>
      </c>
      <c r="L42" s="2" t="b">
        <v>0</v>
      </c>
      <c r="M42" s="2"/>
      <c r="N42" s="2" t="s">
        <v>145</v>
      </c>
      <c r="O42" s="2" t="s">
        <v>146</v>
      </c>
    </row>
    <row r="43" spans="1:15" ht="307.5">
      <c r="A43" s="3" t="s">
        <v>147</v>
      </c>
      <c r="B43" s="2" t="str">
        <f>TRIM(Table1[[#This Row],[Chat Name]])</f>
        <v>Eternal Mandate</v>
      </c>
      <c r="C43" s="2">
        <v>12</v>
      </c>
      <c r="D43" s="2">
        <v>96</v>
      </c>
      <c r="E43" s="2" t="s">
        <v>17</v>
      </c>
      <c r="F43" s="7" t="b">
        <v>0</v>
      </c>
      <c r="G43" s="7" t="b">
        <v>1</v>
      </c>
      <c r="H43" s="2" t="s">
        <v>148</v>
      </c>
      <c r="I43" s="2" t="b">
        <v>1</v>
      </c>
      <c r="J43" s="2" t="s">
        <v>19</v>
      </c>
      <c r="K43" s="2" t="s">
        <v>121</v>
      </c>
      <c r="L43" s="2" t="b">
        <v>1</v>
      </c>
      <c r="M43" s="2"/>
      <c r="N43" s="2" t="s">
        <v>149</v>
      </c>
      <c r="O43" s="2"/>
    </row>
    <row r="44" spans="1:15" ht="184.5">
      <c r="A44" s="3" t="s">
        <v>150</v>
      </c>
      <c r="B44" s="2" t="str">
        <f>TRIM(Table1[[#This Row],[Chat Name]])</f>
        <v>Battle Anthem</v>
      </c>
      <c r="C44" s="2">
        <v>3</v>
      </c>
      <c r="D44" s="2">
        <v>9</v>
      </c>
      <c r="E44" s="2" t="s">
        <v>80</v>
      </c>
      <c r="F44" s="7" t="b">
        <v>1</v>
      </c>
      <c r="G44" s="7" t="b">
        <v>0</v>
      </c>
      <c r="H44" s="2" t="s">
        <v>34</v>
      </c>
      <c r="I44" s="2" t="b">
        <v>1</v>
      </c>
      <c r="J44" s="2" t="s">
        <v>39</v>
      </c>
      <c r="K44" s="2" t="s">
        <v>56</v>
      </c>
      <c r="L44" s="2" t="b">
        <v>0</v>
      </c>
      <c r="M44" s="2"/>
      <c r="N44" s="2" t="s">
        <v>151</v>
      </c>
      <c r="O44" s="2"/>
    </row>
    <row r="45" spans="1:15" ht="196.9">
      <c r="A45" s="3" t="s">
        <v>152</v>
      </c>
      <c r="B45" s="2" t="str">
        <f>TRIM(Table1[[#This Row],[Chat Name]])</f>
        <v>Explosive Glacier</v>
      </c>
      <c r="C45" s="2">
        <v>7</v>
      </c>
      <c r="D45" s="2">
        <v>36</v>
      </c>
      <c r="E45" s="2" t="s">
        <v>153</v>
      </c>
      <c r="F45" s="7" t="b">
        <v>1</v>
      </c>
      <c r="G45" s="7" t="b">
        <v>0</v>
      </c>
      <c r="H45" s="2" t="s">
        <v>34</v>
      </c>
      <c r="I45" s="2" t="b">
        <v>0</v>
      </c>
      <c r="J45" s="2" t="s">
        <v>19</v>
      </c>
      <c r="K45" s="2" t="s">
        <v>154</v>
      </c>
      <c r="L45" s="2" t="b">
        <v>0</v>
      </c>
      <c r="M45" s="2"/>
      <c r="N45" s="2" t="s">
        <v>155</v>
      </c>
      <c r="O45" s="2" t="s">
        <v>156</v>
      </c>
    </row>
    <row r="46" spans="1:15" ht="409.5">
      <c r="A46" s="3" t="s">
        <v>157</v>
      </c>
      <c r="B46" s="2" t="str">
        <f>TRIM(Table1[[#This Row],[Chat Name]])</f>
        <v>Arcane Fletching</v>
      </c>
      <c r="C46" s="2">
        <v>2</v>
      </c>
      <c r="D46" s="2">
        <v>6</v>
      </c>
      <c r="E46" s="2" t="s">
        <v>30</v>
      </c>
      <c r="F46" s="7" t="b">
        <v>0</v>
      </c>
      <c r="G46" s="7" t="b">
        <v>1</v>
      </c>
      <c r="H46" s="2" t="s">
        <v>31</v>
      </c>
      <c r="I46" s="2" t="b">
        <v>0</v>
      </c>
      <c r="J46" s="2" t="s">
        <v>19</v>
      </c>
      <c r="K46" s="2" t="s">
        <v>59</v>
      </c>
      <c r="L46" s="2" t="b">
        <v>1</v>
      </c>
      <c r="M46" s="2"/>
      <c r="N46" s="2" t="s">
        <v>158</v>
      </c>
      <c r="O46" s="2"/>
    </row>
    <row r="47" spans="1:15" ht="184.5">
      <c r="A47" s="3" t="s">
        <v>159</v>
      </c>
      <c r="B47" s="2" t="str">
        <f>TRIM(Table1[[#This Row],[Chat Name]])</f>
        <v>Time Snare</v>
      </c>
      <c r="C47" s="2">
        <v>6</v>
      </c>
      <c r="D47" s="2">
        <v>27</v>
      </c>
      <c r="E47" s="2" t="s">
        <v>30</v>
      </c>
      <c r="F47" s="7" t="b">
        <v>0</v>
      </c>
      <c r="G47" s="7" t="b">
        <v>1</v>
      </c>
      <c r="H47" s="2" t="s">
        <v>34</v>
      </c>
      <c r="I47" s="2" t="b">
        <v>0</v>
      </c>
      <c r="J47" s="2" t="s">
        <v>109</v>
      </c>
      <c r="K47" s="2" t="s">
        <v>160</v>
      </c>
      <c r="L47" s="2" t="b">
        <v>0</v>
      </c>
      <c r="M47" s="2"/>
      <c r="N47" s="2" t="s">
        <v>161</v>
      </c>
      <c r="O47" s="2"/>
    </row>
    <row r="48" spans="1:15" ht="172.15">
      <c r="A48" s="3" t="s">
        <v>162</v>
      </c>
      <c r="B48" s="2" t="str">
        <f>TRIM(Table1[[#This Row],[Chat Name]])</f>
        <v>Mana Lock</v>
      </c>
      <c r="C48" s="2">
        <v>5</v>
      </c>
      <c r="D48" s="2">
        <v>21</v>
      </c>
      <c r="E48" s="2" t="s">
        <v>17</v>
      </c>
      <c r="F48" s="7" t="b">
        <v>0</v>
      </c>
      <c r="G48" s="7" t="b">
        <v>1</v>
      </c>
      <c r="H48" s="2" t="s">
        <v>34</v>
      </c>
      <c r="I48" s="2" t="b">
        <v>1</v>
      </c>
      <c r="J48" s="2" t="s">
        <v>39</v>
      </c>
      <c r="K48" s="2" t="s">
        <v>163</v>
      </c>
      <c r="L48" s="2" t="b">
        <v>0</v>
      </c>
      <c r="M48" s="2"/>
      <c r="N48" s="11" t="s">
        <v>164</v>
      </c>
      <c r="O48" s="2" t="s">
        <v>165</v>
      </c>
    </row>
    <row r="49" spans="1:16" ht="270.60000000000002">
      <c r="A49" s="3" t="s">
        <v>166</v>
      </c>
      <c r="B49" s="2" t="str">
        <f>TRIM(Table1[[#This Row],[Chat Name]])</f>
        <v>Chromatic Prism</v>
      </c>
      <c r="C49" s="2">
        <v>5</v>
      </c>
      <c r="D49" s="2">
        <v>21</v>
      </c>
      <c r="E49" s="2" t="s">
        <v>96</v>
      </c>
      <c r="F49" s="7" t="b">
        <v>0</v>
      </c>
      <c r="G49" s="7" t="b">
        <v>1</v>
      </c>
      <c r="H49" s="2" t="s">
        <v>34</v>
      </c>
      <c r="I49" s="2" t="b">
        <v>0</v>
      </c>
      <c r="J49" s="2" t="s">
        <v>19</v>
      </c>
      <c r="K49" s="2" t="s">
        <v>64</v>
      </c>
      <c r="L49" s="2" t="b">
        <v>0</v>
      </c>
      <c r="M49" s="2"/>
      <c r="N49" s="11" t="s">
        <v>167</v>
      </c>
      <c r="O49" s="2" t="s">
        <v>168</v>
      </c>
    </row>
    <row r="50" spans="1:16" ht="147.6">
      <c r="A50" s="3" t="s">
        <v>169</v>
      </c>
      <c r="B50" s="2" t="str">
        <f>TRIM(Table1[[#This Row],[Chat Name]])</f>
        <v>Mana Overload</v>
      </c>
      <c r="C50" s="2">
        <v>4</v>
      </c>
      <c r="D50" s="2">
        <v>15</v>
      </c>
      <c r="E50" s="2" t="s">
        <v>30</v>
      </c>
      <c r="F50" s="7" t="b">
        <v>0</v>
      </c>
      <c r="G50" s="7" t="b">
        <v>1</v>
      </c>
      <c r="H50" s="2" t="s">
        <v>44</v>
      </c>
      <c r="I50" s="2" t="b">
        <v>0</v>
      </c>
      <c r="J50" s="2" t="s">
        <v>19</v>
      </c>
      <c r="K50" s="2" t="s">
        <v>170</v>
      </c>
      <c r="L50" s="2" t="b">
        <v>0</v>
      </c>
      <c r="M50" s="2"/>
      <c r="N50" s="11" t="s">
        <v>171</v>
      </c>
      <c r="O50" s="2" t="s">
        <v>172</v>
      </c>
    </row>
    <row r="51" spans="1:16" ht="196.9">
      <c r="A51" s="3" t="s">
        <v>173</v>
      </c>
      <c r="B51" s="2" t="str">
        <f>TRIM(Table1[[#This Row],[Chat Name]])</f>
        <v>Venomous Smite</v>
      </c>
      <c r="C51" s="2">
        <v>2</v>
      </c>
      <c r="D51" s="2">
        <v>6</v>
      </c>
      <c r="E51" s="2" t="s">
        <v>17</v>
      </c>
      <c r="F51" s="7" t="b">
        <v>0</v>
      </c>
      <c r="G51" s="7" t="b">
        <v>1</v>
      </c>
      <c r="H51" s="2" t="s">
        <v>31</v>
      </c>
      <c r="I51" s="2" t="b">
        <v>1</v>
      </c>
      <c r="J51" s="2" t="s">
        <v>39</v>
      </c>
      <c r="K51" s="2" t="s">
        <v>121</v>
      </c>
      <c r="L51" s="2" t="b">
        <v>0</v>
      </c>
      <c r="M51" s="2"/>
      <c r="N51" s="11" t="s">
        <v>174</v>
      </c>
      <c r="O51" s="2" t="s">
        <v>175</v>
      </c>
    </row>
    <row r="52" spans="1:16" ht="98.45">
      <c r="A52" s="3" t="s">
        <v>176</v>
      </c>
      <c r="B52" s="2" t="str">
        <f>TRIM(Table1[[#This Row],[Chat Name]])</f>
        <v>Ghrian's Spear</v>
      </c>
      <c r="C52" s="2">
        <v>4</v>
      </c>
      <c r="D52" s="2">
        <v>15</v>
      </c>
      <c r="E52" s="2" t="s">
        <v>23</v>
      </c>
      <c r="F52" s="7" t="b">
        <v>1</v>
      </c>
      <c r="G52" s="7" t="b">
        <v>0</v>
      </c>
      <c r="H52" s="2" t="s">
        <v>34</v>
      </c>
      <c r="I52" s="2" t="b">
        <v>0</v>
      </c>
      <c r="J52" s="2" t="s">
        <v>19</v>
      </c>
      <c r="K52" s="2" t="s">
        <v>160</v>
      </c>
      <c r="L52" s="2" t="b">
        <v>0</v>
      </c>
      <c r="M52" s="2"/>
      <c r="N52" s="2" t="s">
        <v>177</v>
      </c>
      <c r="O52" s="2" t="s">
        <v>178</v>
      </c>
    </row>
    <row r="53" spans="1:16" ht="135.4">
      <c r="A53" s="3" t="s">
        <v>179</v>
      </c>
      <c r="B53" s="2" t="str">
        <f>TRIM(Table1[[#This Row],[Chat Name]])</f>
        <v>Convulsion</v>
      </c>
      <c r="C53" s="2">
        <v>1</v>
      </c>
      <c r="D53" s="2">
        <v>3</v>
      </c>
      <c r="E53" s="2" t="s">
        <v>17</v>
      </c>
      <c r="F53" s="7" t="b">
        <v>0</v>
      </c>
      <c r="G53" s="7" t="b">
        <v>1</v>
      </c>
      <c r="H53" s="2" t="s">
        <v>34</v>
      </c>
      <c r="I53" s="2" t="b">
        <v>0</v>
      </c>
      <c r="J53" s="2" t="s">
        <v>144</v>
      </c>
      <c r="K53" s="2" t="s">
        <v>163</v>
      </c>
      <c r="L53" s="2" t="b">
        <v>0</v>
      </c>
      <c r="M53" s="2"/>
      <c r="N53" s="2" t="s">
        <v>180</v>
      </c>
      <c r="O53" s="2" t="s">
        <v>181</v>
      </c>
    </row>
    <row r="54" spans="1:16" ht="78.75" customHeight="1">
      <c r="A54" s="3" t="s">
        <v>182</v>
      </c>
      <c r="B54" s="2" t="str">
        <f>TRIM(Table1[[#This Row],[Chat Name]])</f>
        <v>Grasping Void</v>
      </c>
      <c r="C54" s="2">
        <v>2</v>
      </c>
      <c r="D54" s="2">
        <v>6</v>
      </c>
      <c r="E54" s="2" t="s">
        <v>17</v>
      </c>
      <c r="F54" s="7" t="b">
        <v>0</v>
      </c>
      <c r="G54" s="7" t="b">
        <v>1</v>
      </c>
      <c r="H54" s="2" t="s">
        <v>34</v>
      </c>
      <c r="I54" s="2" t="b">
        <v>1</v>
      </c>
      <c r="J54" s="2" t="s">
        <v>39</v>
      </c>
      <c r="K54" s="2" t="s">
        <v>183</v>
      </c>
      <c r="L54" s="2" t="b">
        <v>0</v>
      </c>
      <c r="M54" s="2"/>
      <c r="N54" s="2" t="s">
        <v>184</v>
      </c>
      <c r="O54" s="2" t="s">
        <v>185</v>
      </c>
    </row>
    <row r="55" spans="1:16" ht="95.25" customHeight="1">
      <c r="A55" s="3" t="s">
        <v>186</v>
      </c>
      <c r="B55" s="2" t="str">
        <f>TRIM(Table1[[#This Row],[Chat Name]])</f>
        <v>Life Exchange</v>
      </c>
      <c r="C55" s="2">
        <v>1</v>
      </c>
      <c r="D55" s="2">
        <v>3</v>
      </c>
      <c r="E55" s="2" t="s">
        <v>17</v>
      </c>
      <c r="F55" s="7" t="b">
        <v>0</v>
      </c>
      <c r="G55" s="7" t="b">
        <v>1</v>
      </c>
      <c r="H55" s="2" t="s">
        <v>31</v>
      </c>
      <c r="I55" s="2" t="b">
        <v>0</v>
      </c>
      <c r="J55" s="2" t="s">
        <v>35</v>
      </c>
      <c r="K55" s="2" t="s">
        <v>59</v>
      </c>
      <c r="L55" s="2" t="b">
        <v>1</v>
      </c>
      <c r="M55" s="2"/>
      <c r="N55" s="2" t="s">
        <v>187</v>
      </c>
      <c r="O55" s="2"/>
    </row>
    <row r="56" spans="1:16" ht="49.15">
      <c r="A56" s="3" t="s">
        <v>188</v>
      </c>
      <c r="B56" s="2" t="str">
        <f>TRIM(Table1[[#This Row],[Chat Name]])</f>
        <v>Abyssal Armor</v>
      </c>
      <c r="C56" s="2">
        <v>2</v>
      </c>
      <c r="D56" s="2">
        <v>6</v>
      </c>
      <c r="E56" s="2" t="s">
        <v>17</v>
      </c>
      <c r="F56" s="7" t="b">
        <v>0</v>
      </c>
      <c r="G56" s="7" t="b">
        <v>1</v>
      </c>
      <c r="H56" s="2" t="s">
        <v>34</v>
      </c>
      <c r="I56" s="2" t="b">
        <v>1</v>
      </c>
      <c r="J56" s="2" t="s">
        <v>39</v>
      </c>
      <c r="K56" s="2" t="s">
        <v>59</v>
      </c>
      <c r="L56" s="2" t="b">
        <v>0</v>
      </c>
      <c r="M56" s="2"/>
      <c r="N56" s="2" t="s">
        <v>189</v>
      </c>
      <c r="O56" s="2" t="s">
        <v>190</v>
      </c>
    </row>
    <row r="57" spans="1:16" ht="61.5">
      <c r="A57" s="3" t="s">
        <v>191</v>
      </c>
      <c r="B57" s="2" t="str">
        <f>TRIM(Table1[[#This Row],[Chat Name]])</f>
        <v>Bolt of Mana Drain</v>
      </c>
      <c r="C57" s="2">
        <v>1</v>
      </c>
      <c r="D57" s="2">
        <v>3</v>
      </c>
      <c r="E57" s="2" t="s">
        <v>17</v>
      </c>
      <c r="F57" s="7" t="b">
        <v>0</v>
      </c>
      <c r="G57" s="7" t="b">
        <v>1</v>
      </c>
      <c r="H57" s="2" t="s">
        <v>34</v>
      </c>
      <c r="I57" s="2" t="b">
        <v>0</v>
      </c>
      <c r="J57" s="2" t="s">
        <v>19</v>
      </c>
      <c r="K57" s="2" t="s">
        <v>56</v>
      </c>
      <c r="L57" s="2" t="b">
        <v>0</v>
      </c>
      <c r="M57" s="2"/>
      <c r="N57" s="2" t="s">
        <v>192</v>
      </c>
      <c r="O57" s="2" t="s">
        <v>193</v>
      </c>
    </row>
    <row r="58" spans="1:16" ht="111" customHeight="1">
      <c r="A58" s="3" t="s">
        <v>194</v>
      </c>
      <c r="B58" s="2" t="str">
        <f>TRIM(Table1[[#This Row],[Chat Name]])</f>
        <v>Searing Abyssal Orbs</v>
      </c>
      <c r="C58" s="2">
        <v>5</v>
      </c>
      <c r="D58" s="2">
        <v>21</v>
      </c>
      <c r="E58" s="2" t="s">
        <v>17</v>
      </c>
      <c r="F58" s="7" t="b">
        <v>0</v>
      </c>
      <c r="G58" s="7" t="b">
        <v>1</v>
      </c>
      <c r="H58" s="2" t="s">
        <v>34</v>
      </c>
      <c r="I58" s="2" t="b">
        <v>1</v>
      </c>
      <c r="J58" s="2" t="s">
        <v>39</v>
      </c>
      <c r="K58" s="2" t="s">
        <v>195</v>
      </c>
      <c r="L58" s="2" t="b">
        <v>0</v>
      </c>
      <c r="M58" s="2"/>
      <c r="N58" s="2" t="s">
        <v>196</v>
      </c>
      <c r="O58" s="2" t="s">
        <v>197</v>
      </c>
    </row>
    <row r="59" spans="1:16" ht="61.5">
      <c r="A59" s="3" t="s">
        <v>198</v>
      </c>
      <c r="B59" s="2" t="str">
        <f>TRIM(Table1[[#This Row],[Chat Name]])</f>
        <v>Absorb Life</v>
      </c>
      <c r="C59" s="2">
        <v>2</v>
      </c>
      <c r="D59" s="2">
        <v>6</v>
      </c>
      <c r="E59" s="2" t="s">
        <v>17</v>
      </c>
      <c r="F59" s="7" t="b">
        <v>0</v>
      </c>
      <c r="G59" s="7" t="b">
        <v>1</v>
      </c>
      <c r="H59" s="2" t="s">
        <v>34</v>
      </c>
      <c r="I59" s="2" t="b">
        <v>0</v>
      </c>
      <c r="J59" s="2"/>
      <c r="K59" s="2" t="s">
        <v>56</v>
      </c>
      <c r="L59" s="2" t="b">
        <v>0</v>
      </c>
      <c r="M59" s="2"/>
      <c r="N59" s="2" t="s">
        <v>199</v>
      </c>
      <c r="O59" s="2" t="s">
        <v>185</v>
      </c>
    </row>
    <row r="60" spans="1:16" ht="135.4">
      <c r="A60" s="3" t="s">
        <v>200</v>
      </c>
      <c r="B60" s="2" t="str">
        <f>TRIM(Table1[[#This Row],[Chat Name]])</f>
        <v>Explosive Remains</v>
      </c>
      <c r="C60" s="2">
        <v>3</v>
      </c>
      <c r="D60" s="2">
        <v>9</v>
      </c>
      <c r="E60" s="2" t="s">
        <v>17</v>
      </c>
      <c r="F60" s="7" t="b">
        <v>0</v>
      </c>
      <c r="G60" s="7" t="b">
        <v>1</v>
      </c>
      <c r="H60" s="2" t="s">
        <v>201</v>
      </c>
      <c r="I60" s="2" t="b">
        <v>0</v>
      </c>
      <c r="J60" s="2" t="s">
        <v>19</v>
      </c>
      <c r="K60" s="2" t="s">
        <v>52</v>
      </c>
      <c r="L60" s="2" t="b">
        <v>0</v>
      </c>
      <c r="M60" s="2"/>
      <c r="N60" s="2" t="s">
        <v>202</v>
      </c>
      <c r="O60" s="2" t="s">
        <v>203</v>
      </c>
    </row>
    <row r="61" spans="1:16" ht="73.900000000000006">
      <c r="A61" s="3" t="s">
        <v>204</v>
      </c>
      <c r="B61" s="2" t="str">
        <f>TRIM(Table1[[#This Row],[Chat Name]])</f>
        <v>Absorb Elements</v>
      </c>
      <c r="C61" s="2">
        <v>1</v>
      </c>
      <c r="D61" s="2">
        <v>3</v>
      </c>
      <c r="E61" s="2" t="s">
        <v>153</v>
      </c>
      <c r="F61" s="6" t="b">
        <v>1</v>
      </c>
      <c r="G61" s="6" t="b">
        <v>0</v>
      </c>
      <c r="H61" s="2" t="s">
        <v>205</v>
      </c>
      <c r="I61" s="2" t="b">
        <v>0</v>
      </c>
      <c r="J61" s="2" t="s">
        <v>144</v>
      </c>
      <c r="K61" s="2" t="s">
        <v>59</v>
      </c>
      <c r="L61" s="2" t="b">
        <v>0</v>
      </c>
      <c r="M61" s="2" t="s">
        <v>206</v>
      </c>
      <c r="N61" s="2" t="s">
        <v>207</v>
      </c>
      <c r="O61" s="2" t="s">
        <v>208</v>
      </c>
      <c r="P61" s="13" t="s">
        <v>208</v>
      </c>
    </row>
    <row r="62" spans="1:16" ht="73.900000000000006">
      <c r="A62" s="3" t="s">
        <v>209</v>
      </c>
      <c r="B62" s="2" t="str">
        <f>TRIM(Table1[[#This Row],[Chat Name]])</f>
        <v>Melf's Acid Arrow</v>
      </c>
      <c r="C62" s="2">
        <v>2</v>
      </c>
      <c r="D62" s="2">
        <v>6</v>
      </c>
      <c r="E62" s="2" t="s">
        <v>153</v>
      </c>
      <c r="F62" s="6" t="b">
        <v>1</v>
      </c>
      <c r="G62" s="6" t="b">
        <v>0</v>
      </c>
      <c r="H62" s="2" t="s">
        <v>34</v>
      </c>
      <c r="I62" s="2" t="b">
        <v>0</v>
      </c>
      <c r="J62" s="2" t="s">
        <v>19</v>
      </c>
      <c r="K62" s="2" t="s">
        <v>64</v>
      </c>
      <c r="L62" s="2" t="b">
        <v>0</v>
      </c>
      <c r="M62" s="2" t="s">
        <v>210</v>
      </c>
      <c r="N62" s="2" t="s">
        <v>211</v>
      </c>
      <c r="O62" s="2" t="s">
        <v>212</v>
      </c>
      <c r="P62" s="13" t="s">
        <v>212</v>
      </c>
    </row>
    <row r="63" spans="1:16" ht="73.900000000000006">
      <c r="A63" s="3" t="s">
        <v>213</v>
      </c>
      <c r="B63" s="2" t="str">
        <f>TRIM(Table1[[#This Row],[Chat Name]])</f>
        <v>Acid Splash</v>
      </c>
      <c r="C63" s="2">
        <v>0</v>
      </c>
      <c r="D63" s="2">
        <v>0</v>
      </c>
      <c r="E63" s="2" t="s">
        <v>153</v>
      </c>
      <c r="F63" s="6" t="b">
        <v>1</v>
      </c>
      <c r="G63" s="6" t="b">
        <v>0</v>
      </c>
      <c r="H63" s="2" t="s">
        <v>34</v>
      </c>
      <c r="I63" s="2" t="b">
        <v>0</v>
      </c>
      <c r="J63" s="2" t="s">
        <v>19</v>
      </c>
      <c r="K63" s="2" t="s">
        <v>56</v>
      </c>
      <c r="L63" s="2" t="b">
        <v>0</v>
      </c>
      <c r="M63" s="2" t="s">
        <v>214</v>
      </c>
      <c r="N63" s="2" t="s">
        <v>215</v>
      </c>
      <c r="O63" s="2" t="s">
        <v>216</v>
      </c>
      <c r="P63" s="13" t="s">
        <v>216</v>
      </c>
    </row>
    <row r="64" spans="1:16" ht="86.1">
      <c r="A64" s="3"/>
      <c r="B64" s="2" t="str">
        <f>TRIM(Table1[[#This Row],[Chat Name]])</f>
        <v/>
      </c>
      <c r="C64" s="2">
        <v>3</v>
      </c>
      <c r="D64" s="2">
        <v>9</v>
      </c>
      <c r="E64" s="2" t="s">
        <v>17</v>
      </c>
      <c r="F64" s="6" t="b">
        <v>0</v>
      </c>
      <c r="G64" s="6" t="b">
        <v>1</v>
      </c>
      <c r="H64" s="2" t="s">
        <v>217</v>
      </c>
      <c r="I64" s="2" t="b">
        <v>1</v>
      </c>
      <c r="J64" s="2" t="s">
        <v>39</v>
      </c>
      <c r="K64" s="2" t="s">
        <v>52</v>
      </c>
      <c r="L64" s="2" t="b">
        <v>0</v>
      </c>
      <c r="M64" s="2"/>
      <c r="N64" s="2" t="s">
        <v>218</v>
      </c>
      <c r="O64" s="2" t="s">
        <v>219</v>
      </c>
      <c r="P64" s="13" t="s">
        <v>219</v>
      </c>
    </row>
    <row r="65" spans="1:16" ht="123">
      <c r="A65" s="3"/>
      <c r="B65" s="2" t="str">
        <f>TRIM(Table1[[#This Row],[Chat Name]])</f>
        <v/>
      </c>
      <c r="C65" s="2">
        <v>6</v>
      </c>
      <c r="D65" s="2">
        <v>27</v>
      </c>
      <c r="E65" s="2" t="s">
        <v>96</v>
      </c>
      <c r="F65" s="6" t="b">
        <v>0</v>
      </c>
      <c r="G65" s="6" t="b">
        <v>1</v>
      </c>
      <c r="H65" s="2" t="s">
        <v>34</v>
      </c>
      <c r="I65" s="2" t="b">
        <v>1</v>
      </c>
      <c r="J65" s="2" t="s">
        <v>39</v>
      </c>
      <c r="K65" s="2" t="s">
        <v>220</v>
      </c>
      <c r="L65" s="2" t="b">
        <v>0</v>
      </c>
      <c r="M65" s="2"/>
      <c r="N65" s="2" t="s">
        <v>221</v>
      </c>
      <c r="O65" s="2" t="s">
        <v>222</v>
      </c>
      <c r="P65" s="13" t="s">
        <v>222</v>
      </c>
    </row>
    <row r="66" spans="1:16" ht="86.45">
      <c r="A66" s="3"/>
      <c r="B66" s="2" t="str">
        <f>TRIM(Table1[[#This Row],[Chat Name]])</f>
        <v/>
      </c>
      <c r="C66" s="2">
        <v>3</v>
      </c>
      <c r="D66" s="2">
        <v>9</v>
      </c>
      <c r="E66" s="2" t="s">
        <v>30</v>
      </c>
      <c r="F66" s="6" t="b">
        <v>0</v>
      </c>
      <c r="G66" s="6" t="b">
        <v>1</v>
      </c>
      <c r="H66" s="2" t="s">
        <v>34</v>
      </c>
      <c r="I66" s="2" t="b">
        <v>0</v>
      </c>
      <c r="J66" s="2" t="s">
        <v>19</v>
      </c>
      <c r="K66" s="2" t="s">
        <v>64</v>
      </c>
      <c r="L66" s="2" t="b">
        <v>0</v>
      </c>
      <c r="M66" s="2"/>
      <c r="N66" s="2" t="s">
        <v>223</v>
      </c>
      <c r="O66" s="2" t="s">
        <v>224</v>
      </c>
      <c r="P66" s="13" t="s">
        <v>224</v>
      </c>
    </row>
    <row r="67" spans="1:16" ht="98.45">
      <c r="A67" s="3"/>
      <c r="B67" s="2" t="str">
        <f>TRIM(Table1[[#This Row],[Chat Name]])</f>
        <v/>
      </c>
      <c r="C67" s="2">
        <v>4</v>
      </c>
      <c r="D67" s="2">
        <v>15</v>
      </c>
      <c r="E67" s="2" t="s">
        <v>30</v>
      </c>
      <c r="F67" s="6" t="b">
        <v>0</v>
      </c>
      <c r="G67" s="6" t="b">
        <v>1</v>
      </c>
      <c r="H67" s="2" t="s">
        <v>34</v>
      </c>
      <c r="I67" s="2" t="b">
        <v>0</v>
      </c>
      <c r="J67" s="2" t="s">
        <v>35</v>
      </c>
      <c r="K67" s="2" t="s">
        <v>59</v>
      </c>
      <c r="L67" s="2" t="b">
        <v>0</v>
      </c>
      <c r="M67" s="2"/>
      <c r="N67" s="2" t="s">
        <v>225</v>
      </c>
      <c r="O67" s="2" t="s">
        <v>226</v>
      </c>
      <c r="P67" s="13" t="s">
        <v>226</v>
      </c>
    </row>
    <row r="68" spans="1:16" ht="57.6">
      <c r="A68" s="3" t="s">
        <v>227</v>
      </c>
      <c r="B68" s="2" t="str">
        <f>TRIM(Table1[[#This Row],[Chat Name]])</f>
        <v>Aid</v>
      </c>
      <c r="C68" s="2">
        <v>3</v>
      </c>
      <c r="D68" s="2">
        <v>9</v>
      </c>
      <c r="E68" s="2" t="s">
        <v>80</v>
      </c>
      <c r="F68" s="6" t="b">
        <v>1</v>
      </c>
      <c r="G68" s="6" t="b">
        <v>0</v>
      </c>
      <c r="H68" s="2" t="s">
        <v>34</v>
      </c>
      <c r="I68" s="2" t="b">
        <v>0</v>
      </c>
      <c r="J68" s="2" t="s">
        <v>40</v>
      </c>
      <c r="K68" s="2" t="s">
        <v>52</v>
      </c>
      <c r="L68" s="2" t="b">
        <v>0</v>
      </c>
      <c r="M68" s="2" t="s">
        <v>228</v>
      </c>
      <c r="N68" s="2" t="s">
        <v>229</v>
      </c>
      <c r="O68" s="2" t="s">
        <v>230</v>
      </c>
      <c r="P68" s="13" t="s">
        <v>230</v>
      </c>
    </row>
    <row r="69" spans="1:16" ht="73.900000000000006">
      <c r="A69" s="3" t="s">
        <v>231</v>
      </c>
      <c r="B69" s="2" t="str">
        <f>TRIM(Table1[[#This Row],[Chat Name]])</f>
        <v>Air Bubble</v>
      </c>
      <c r="C69" s="2">
        <v>2</v>
      </c>
      <c r="D69" s="2">
        <v>6</v>
      </c>
      <c r="E69" s="2" t="s">
        <v>153</v>
      </c>
      <c r="F69" s="6" t="b">
        <v>1</v>
      </c>
      <c r="G69" s="6" t="b">
        <v>0</v>
      </c>
      <c r="H69" s="2" t="s">
        <v>34</v>
      </c>
      <c r="I69" s="2" t="b">
        <v>0</v>
      </c>
      <c r="J69" s="2" t="s">
        <v>232</v>
      </c>
      <c r="K69" s="2" t="s">
        <v>56</v>
      </c>
      <c r="L69" s="2" t="b">
        <v>0</v>
      </c>
      <c r="M69" s="2" t="s">
        <v>233</v>
      </c>
      <c r="N69" s="2" t="s">
        <v>234</v>
      </c>
      <c r="O69" s="2" t="s">
        <v>235</v>
      </c>
      <c r="P69" s="13" t="s">
        <v>235</v>
      </c>
    </row>
    <row r="70" spans="1:16" ht="171" customHeight="1">
      <c r="A70" s="3" t="s">
        <v>236</v>
      </c>
      <c r="B70" s="2" t="str">
        <f>TRIM(Table1[[#This Row],[Chat Name]])</f>
        <v>Air Bullet</v>
      </c>
      <c r="C70" s="2">
        <v>9</v>
      </c>
      <c r="D70" s="2">
        <v>54</v>
      </c>
      <c r="E70" s="2" t="s">
        <v>153</v>
      </c>
      <c r="F70" s="7" t="b">
        <v>1</v>
      </c>
      <c r="G70" s="7" t="b">
        <v>0</v>
      </c>
      <c r="H70" s="2" t="s">
        <v>34</v>
      </c>
      <c r="I70" s="2" t="b">
        <v>0</v>
      </c>
      <c r="J70" s="2" t="s">
        <v>19</v>
      </c>
      <c r="K70" s="2" t="s">
        <v>237</v>
      </c>
      <c r="L70" s="2" t="b">
        <v>0</v>
      </c>
      <c r="M70" s="2"/>
      <c r="N70" s="2" t="s">
        <v>238</v>
      </c>
      <c r="O70" s="2" t="s">
        <v>239</v>
      </c>
      <c r="P70" s="13" t="s">
        <v>239</v>
      </c>
    </row>
    <row r="71" spans="1:16" ht="123">
      <c r="A71" s="3" t="s">
        <v>240</v>
      </c>
      <c r="B71" s="2" t="str">
        <f>TRIM(Table1[[#This Row],[Chat Name]])</f>
        <v>Alarm</v>
      </c>
      <c r="C71" s="2">
        <v>1</v>
      </c>
      <c r="D71" s="2">
        <v>3</v>
      </c>
      <c r="E71" s="2" t="s">
        <v>30</v>
      </c>
      <c r="F71" s="6" t="b">
        <v>0</v>
      </c>
      <c r="G71" s="6" t="b">
        <v>1</v>
      </c>
      <c r="H71" s="2" t="s">
        <v>39</v>
      </c>
      <c r="I71" s="2" t="b">
        <v>0</v>
      </c>
      <c r="J71" s="2" t="s">
        <v>40</v>
      </c>
      <c r="K71" s="2" t="s">
        <v>52</v>
      </c>
      <c r="L71" s="2" t="b">
        <v>1</v>
      </c>
      <c r="M71" s="2" t="s">
        <v>241</v>
      </c>
      <c r="N71" s="2" t="s">
        <v>242</v>
      </c>
      <c r="O71" s="2"/>
    </row>
    <row r="72" spans="1:16" ht="307.5">
      <c r="A72" s="3" t="s">
        <v>243</v>
      </c>
      <c r="B72" s="2" t="str">
        <f>TRIM(Table1[[#This Row],[Chat Name]])</f>
        <v>Alter Self</v>
      </c>
      <c r="C72" s="2">
        <v>2</v>
      </c>
      <c r="D72" s="2">
        <v>6</v>
      </c>
      <c r="E72" s="2" t="s">
        <v>244</v>
      </c>
      <c r="F72" s="6" t="b">
        <v>1</v>
      </c>
      <c r="G72" s="6" t="b">
        <v>0</v>
      </c>
      <c r="H72" s="2" t="s">
        <v>34</v>
      </c>
      <c r="I72" s="2" t="b">
        <v>1</v>
      </c>
      <c r="J72" s="2" t="s">
        <v>245</v>
      </c>
      <c r="K72" s="2" t="s">
        <v>59</v>
      </c>
      <c r="L72" s="2" t="b">
        <v>0</v>
      </c>
      <c r="M72" s="2" t="s">
        <v>246</v>
      </c>
      <c r="N72" s="2" t="s">
        <v>247</v>
      </c>
      <c r="O72" s="2"/>
    </row>
    <row r="73" spans="1:16" ht="123">
      <c r="A73" s="3"/>
      <c r="B73" s="2" t="str">
        <f>TRIM(Table1[[#This Row],[Chat Name]])</f>
        <v/>
      </c>
      <c r="C73" s="2">
        <v>3</v>
      </c>
      <c r="D73" s="2">
        <v>9</v>
      </c>
      <c r="E73" s="2" t="s">
        <v>244</v>
      </c>
      <c r="F73" s="6" t="b">
        <v>1</v>
      </c>
      <c r="G73" s="6" t="b">
        <v>0</v>
      </c>
      <c r="H73" s="2" t="s">
        <v>39</v>
      </c>
      <c r="I73" s="2" t="b">
        <v>0</v>
      </c>
      <c r="J73" s="2" t="s">
        <v>19</v>
      </c>
      <c r="K73" s="2" t="s">
        <v>110</v>
      </c>
      <c r="L73" s="2" t="b">
        <v>1</v>
      </c>
      <c r="M73" s="2"/>
      <c r="N73" s="2" t="s">
        <v>248</v>
      </c>
      <c r="O73" s="2" t="s">
        <v>249</v>
      </c>
      <c r="P73" s="13" t="s">
        <v>250</v>
      </c>
    </row>
    <row r="74" spans="1:16" ht="135.4">
      <c r="A74" s="3"/>
      <c r="B74" s="2" t="str">
        <f>TRIM(Table1[[#This Row],[Chat Name]])</f>
        <v/>
      </c>
      <c r="C74" s="2">
        <v>4</v>
      </c>
      <c r="D74" s="2">
        <v>15</v>
      </c>
      <c r="E74" s="2" t="s">
        <v>244</v>
      </c>
      <c r="F74" s="6" t="b">
        <v>0</v>
      </c>
      <c r="G74" s="6" t="b">
        <v>1</v>
      </c>
      <c r="H74" s="2" t="s">
        <v>34</v>
      </c>
      <c r="I74" s="2" t="b">
        <v>0</v>
      </c>
      <c r="J74" s="2" t="s">
        <v>18</v>
      </c>
      <c r="K74" s="2" t="s">
        <v>56</v>
      </c>
      <c r="L74" s="2" t="b">
        <v>0</v>
      </c>
      <c r="M74" s="2"/>
      <c r="N74" s="2" t="s">
        <v>251</v>
      </c>
      <c r="O74" s="2" t="s">
        <v>252</v>
      </c>
      <c r="P74" s="13" t="s">
        <v>253</v>
      </c>
    </row>
    <row r="75" spans="1:16" ht="73.900000000000006">
      <c r="A75" s="3" t="s">
        <v>254</v>
      </c>
      <c r="B75" s="2" t="str">
        <f>TRIM(Table1[[#This Row],[Chat Name]])</f>
        <v>Animal Friendship</v>
      </c>
      <c r="C75" s="2">
        <v>1</v>
      </c>
      <c r="D75" s="2">
        <v>3</v>
      </c>
      <c r="E75" s="2" t="s">
        <v>244</v>
      </c>
      <c r="F75" s="6" t="b">
        <v>1</v>
      </c>
      <c r="G75" s="6" t="b">
        <v>0</v>
      </c>
      <c r="H75" s="2" t="s">
        <v>34</v>
      </c>
      <c r="I75" s="2" t="b">
        <v>0</v>
      </c>
      <c r="J75" s="2" t="s">
        <v>232</v>
      </c>
      <c r="K75" s="2" t="s">
        <v>52</v>
      </c>
      <c r="L75" s="2" t="b">
        <v>0</v>
      </c>
      <c r="M75" s="2" t="s">
        <v>255</v>
      </c>
      <c r="N75" s="2" t="s">
        <v>256</v>
      </c>
      <c r="O75" s="2" t="s">
        <v>257</v>
      </c>
      <c r="P75" s="13" t="s">
        <v>257</v>
      </c>
    </row>
    <row r="76" spans="1:16" ht="196.9">
      <c r="A76" s="3" t="s">
        <v>258</v>
      </c>
      <c r="B76" s="2" t="str">
        <f>TRIM(Table1[[#This Row],[Chat Name]])</f>
        <v>Animal Messenger</v>
      </c>
      <c r="C76" s="2">
        <v>2</v>
      </c>
      <c r="D76" s="2">
        <v>6</v>
      </c>
      <c r="E76" s="2" t="s">
        <v>244</v>
      </c>
      <c r="F76" s="6" t="b">
        <v>1</v>
      </c>
      <c r="G76" s="6" t="b">
        <v>0</v>
      </c>
      <c r="H76" s="2" t="s">
        <v>34</v>
      </c>
      <c r="I76" s="2" t="b">
        <v>0</v>
      </c>
      <c r="J76" s="2" t="s">
        <v>232</v>
      </c>
      <c r="K76" s="2" t="s">
        <v>52</v>
      </c>
      <c r="L76" s="2" t="b">
        <v>1</v>
      </c>
      <c r="M76" s="2" t="s">
        <v>259</v>
      </c>
      <c r="N76" s="2" t="s">
        <v>260</v>
      </c>
      <c r="O76" s="2" t="s">
        <v>261</v>
      </c>
      <c r="P76" s="13" t="s">
        <v>262</v>
      </c>
    </row>
    <row r="77" spans="1:16" ht="258.39999999999998">
      <c r="A77" s="3" t="s">
        <v>263</v>
      </c>
      <c r="B77" s="2" t="str">
        <f>TRIM(Table1[[#This Row],[Chat Name]])</f>
        <v>Animal Shapes</v>
      </c>
      <c r="C77" s="2">
        <v>10</v>
      </c>
      <c r="D77" s="2">
        <v>66</v>
      </c>
      <c r="E77" s="2" t="s">
        <v>244</v>
      </c>
      <c r="F77" s="6" t="b">
        <v>1</v>
      </c>
      <c r="G77" s="6" t="b">
        <v>0</v>
      </c>
      <c r="H77" s="2" t="s">
        <v>34</v>
      </c>
      <c r="I77" s="2" t="b">
        <v>1</v>
      </c>
      <c r="J77" s="2" t="s">
        <v>264</v>
      </c>
      <c r="K77" s="2" t="s">
        <v>52</v>
      </c>
      <c r="L77" s="2" t="b">
        <v>0</v>
      </c>
      <c r="M77" s="2" t="s">
        <v>265</v>
      </c>
      <c r="N77" s="2" t="s">
        <v>266</v>
      </c>
      <c r="O77" s="2"/>
    </row>
    <row r="78" spans="1:16" ht="270.60000000000002">
      <c r="A78" s="3" t="s">
        <v>267</v>
      </c>
      <c r="B78" s="2" t="str">
        <f>TRIM(Table1[[#This Row],[Chat Name]])</f>
        <v>Animate Dead</v>
      </c>
      <c r="C78" s="2">
        <v>3</v>
      </c>
      <c r="D78" s="2">
        <v>9</v>
      </c>
      <c r="E78" s="2" t="s">
        <v>17</v>
      </c>
      <c r="F78" s="6" t="b">
        <v>0</v>
      </c>
      <c r="G78" s="6" t="b">
        <v>1</v>
      </c>
      <c r="H78" s="2" t="s">
        <v>39</v>
      </c>
      <c r="I78" s="2" t="b">
        <v>0</v>
      </c>
      <c r="J78" s="2" t="s">
        <v>19</v>
      </c>
      <c r="K78" s="2" t="s">
        <v>132</v>
      </c>
      <c r="L78" s="2" t="b">
        <v>0</v>
      </c>
      <c r="M78" s="2" t="s">
        <v>268</v>
      </c>
      <c r="N78" s="2" t="s">
        <v>269</v>
      </c>
      <c r="O78" s="2" t="s">
        <v>270</v>
      </c>
      <c r="P78" s="13" t="s">
        <v>270</v>
      </c>
    </row>
    <row r="79" spans="1:16" ht="405.95">
      <c r="A79" s="3" t="s">
        <v>271</v>
      </c>
      <c r="B79" s="2" t="str">
        <f>TRIM(Table1[[#This Row],[Chat Name]])</f>
        <v>Animate Objects</v>
      </c>
      <c r="C79" s="2">
        <v>7</v>
      </c>
      <c r="D79" s="2">
        <v>36</v>
      </c>
      <c r="E79" s="2" t="s">
        <v>80</v>
      </c>
      <c r="F79" s="6" t="b">
        <v>1</v>
      </c>
      <c r="G79" s="6" t="b">
        <v>0</v>
      </c>
      <c r="H79" s="2" t="s">
        <v>34</v>
      </c>
      <c r="I79" s="2" t="b">
        <v>1</v>
      </c>
      <c r="J79" s="2" t="s">
        <v>272</v>
      </c>
      <c r="K79" s="2" t="s">
        <v>160</v>
      </c>
      <c r="L79" s="2" t="b">
        <v>0</v>
      </c>
      <c r="M79" s="2" t="s">
        <v>273</v>
      </c>
      <c r="N79" s="2" t="s">
        <v>274</v>
      </c>
      <c r="O79" s="2" t="s">
        <v>275</v>
      </c>
      <c r="P79" s="13" t="s">
        <v>276</v>
      </c>
    </row>
    <row r="80" spans="1:16" ht="123">
      <c r="A80" s="3"/>
      <c r="B80" s="2" t="str">
        <f>TRIM(Table1[[#This Row],[Chat Name]])</f>
        <v/>
      </c>
      <c r="C80" s="2">
        <v>3</v>
      </c>
      <c r="D80" s="2">
        <v>9</v>
      </c>
      <c r="E80" s="2" t="s">
        <v>73</v>
      </c>
      <c r="F80" s="6" t="b">
        <v>0</v>
      </c>
      <c r="G80" s="6" t="b">
        <v>1</v>
      </c>
      <c r="H80" s="2" t="s">
        <v>34</v>
      </c>
      <c r="I80" s="2" t="b">
        <v>0</v>
      </c>
      <c r="J80" s="2" t="s">
        <v>19</v>
      </c>
      <c r="K80" s="2" t="s">
        <v>52</v>
      </c>
      <c r="L80" s="2" t="b">
        <v>0</v>
      </c>
      <c r="M80" s="2"/>
      <c r="N80" s="2" t="s">
        <v>277</v>
      </c>
      <c r="O80" s="2" t="s">
        <v>278</v>
      </c>
      <c r="P80" s="13" t="s">
        <v>278</v>
      </c>
    </row>
    <row r="81" spans="1:16" ht="98.45">
      <c r="A81" s="3" t="s">
        <v>279</v>
      </c>
      <c r="B81" s="2" t="str">
        <f>TRIM(Table1[[#This Row],[Chat Name]])</f>
        <v>Antilife Shell</v>
      </c>
      <c r="C81" s="2">
        <v>6</v>
      </c>
      <c r="D81" s="2">
        <v>27</v>
      </c>
      <c r="E81" s="2" t="s">
        <v>96</v>
      </c>
      <c r="F81" s="6" t="b">
        <v>0</v>
      </c>
      <c r="G81" s="6" t="b">
        <v>1</v>
      </c>
      <c r="H81" s="2" t="s">
        <v>34</v>
      </c>
      <c r="I81" s="2" t="b">
        <v>1</v>
      </c>
      <c r="J81" s="2" t="s">
        <v>245</v>
      </c>
      <c r="K81" s="2" t="s">
        <v>280</v>
      </c>
      <c r="L81" s="2" t="b">
        <v>0</v>
      </c>
      <c r="M81" s="2" t="s">
        <v>281</v>
      </c>
      <c r="N81" s="2" t="s">
        <v>282</v>
      </c>
      <c r="O81" s="2"/>
    </row>
    <row r="82" spans="1:16" ht="409.5">
      <c r="A82" s="3" t="s">
        <v>283</v>
      </c>
      <c r="B82" s="2" t="str">
        <f>TRIM(Table1[[#This Row],[Chat Name]])</f>
        <v>Antimagic Field</v>
      </c>
      <c r="C82" s="2">
        <v>10</v>
      </c>
      <c r="D82" s="2">
        <v>66</v>
      </c>
      <c r="E82" s="2" t="s">
        <v>30</v>
      </c>
      <c r="F82" s="6" t="b">
        <v>0</v>
      </c>
      <c r="G82" s="6" t="b">
        <v>1</v>
      </c>
      <c r="H82" s="2" t="s">
        <v>34</v>
      </c>
      <c r="I82" s="2" t="b">
        <v>1</v>
      </c>
      <c r="J82" s="2" t="s">
        <v>245</v>
      </c>
      <c r="K82" s="2" t="s">
        <v>284</v>
      </c>
      <c r="L82" s="2" t="b">
        <v>0</v>
      </c>
      <c r="M82" s="2" t="s">
        <v>285</v>
      </c>
      <c r="N82" s="2" t="s">
        <v>286</v>
      </c>
      <c r="O82" s="2"/>
    </row>
    <row r="83" spans="1:16" ht="409.5">
      <c r="A83" s="3" t="s">
        <v>287</v>
      </c>
      <c r="B83" s="2" t="str">
        <f>TRIM(Table1[[#This Row],[Chat Name]])</f>
        <v>Antipathy/Sympathy</v>
      </c>
      <c r="C83" s="2">
        <v>10</v>
      </c>
      <c r="D83" s="2">
        <v>66</v>
      </c>
      <c r="E83" s="2" t="s">
        <v>73</v>
      </c>
      <c r="F83" s="6" t="b">
        <v>0</v>
      </c>
      <c r="G83" s="6" t="b">
        <v>1</v>
      </c>
      <c r="H83" s="2" t="s">
        <v>35</v>
      </c>
      <c r="I83" s="2" t="b">
        <v>0</v>
      </c>
      <c r="J83" s="2" t="s">
        <v>288</v>
      </c>
      <c r="K83" s="2" t="s">
        <v>56</v>
      </c>
      <c r="L83" s="2" t="b">
        <v>0</v>
      </c>
      <c r="M83" s="2" t="s">
        <v>289</v>
      </c>
      <c r="N83" s="2" t="s">
        <v>290</v>
      </c>
      <c r="O83" s="2"/>
    </row>
    <row r="84" spans="1:16" ht="61.5">
      <c r="B84" s="2" t="str">
        <f>TRIM(Table1[[#This Row],[Chat Name]])</f>
        <v/>
      </c>
      <c r="C84" s="2">
        <v>0</v>
      </c>
      <c r="D84" s="2">
        <v>0</v>
      </c>
      <c r="E84" s="2" t="s">
        <v>30</v>
      </c>
      <c r="F84" s="6" t="b">
        <v>0</v>
      </c>
      <c r="G84" s="6" t="b">
        <v>1</v>
      </c>
      <c r="H84" s="2" t="s">
        <v>291</v>
      </c>
      <c r="I84" s="2" t="b">
        <v>0</v>
      </c>
      <c r="J84" s="2" t="s">
        <v>18</v>
      </c>
      <c r="K84" s="2" t="s">
        <v>110</v>
      </c>
      <c r="L84" s="2" t="b">
        <v>0</v>
      </c>
      <c r="N84" s="2" t="s">
        <v>292</v>
      </c>
      <c r="O84" s="2" t="s">
        <v>293</v>
      </c>
      <c r="P84" s="13" t="s">
        <v>293</v>
      </c>
    </row>
    <row r="85" spans="1:16" ht="209.1">
      <c r="A85" s="3"/>
      <c r="B85" s="2" t="str">
        <f>TRIM(Table1[[#This Row],[Chat Name]])</f>
        <v/>
      </c>
      <c r="C85" s="2">
        <v>4</v>
      </c>
      <c r="D85" s="2">
        <v>15</v>
      </c>
      <c r="E85" s="2" t="s">
        <v>30</v>
      </c>
      <c r="F85" s="6" t="b">
        <v>0</v>
      </c>
      <c r="G85" s="6" t="b">
        <v>1</v>
      </c>
      <c r="H85" s="2" t="s">
        <v>34</v>
      </c>
      <c r="I85" s="2" t="b">
        <v>0</v>
      </c>
      <c r="J85" s="2" t="s">
        <v>19</v>
      </c>
      <c r="K85" s="2" t="s">
        <v>160</v>
      </c>
      <c r="L85" s="2" t="b">
        <v>0</v>
      </c>
      <c r="M85" s="2"/>
      <c r="N85" s="2" t="s">
        <v>294</v>
      </c>
      <c r="O85" s="2" t="s">
        <v>295</v>
      </c>
      <c r="P85" s="13" t="s">
        <v>296</v>
      </c>
    </row>
    <row r="86" spans="1:16" ht="246">
      <c r="A86" s="3" t="s">
        <v>297</v>
      </c>
      <c r="B86" s="2" t="str">
        <f>TRIM(Table1[[#This Row],[Chat Name]])</f>
        <v>Nystul's Magic Aura</v>
      </c>
      <c r="C86" s="2">
        <v>2</v>
      </c>
      <c r="D86" s="2">
        <v>6</v>
      </c>
      <c r="E86" s="2" t="s">
        <v>96</v>
      </c>
      <c r="F86" s="6" t="b">
        <v>0</v>
      </c>
      <c r="G86" s="6" t="b">
        <v>1</v>
      </c>
      <c r="H86" s="2" t="s">
        <v>34</v>
      </c>
      <c r="I86" s="2" t="b">
        <v>0</v>
      </c>
      <c r="J86" s="2" t="s">
        <v>232</v>
      </c>
      <c r="K86" s="2" t="s">
        <v>110</v>
      </c>
      <c r="L86" s="2" t="b">
        <v>0</v>
      </c>
      <c r="M86" s="2" t="s">
        <v>298</v>
      </c>
      <c r="N86" s="2" t="s">
        <v>299</v>
      </c>
      <c r="O86" s="2"/>
    </row>
    <row r="87" spans="1:16" ht="184.5">
      <c r="A87" s="3" t="s">
        <v>300</v>
      </c>
      <c r="B87" s="2" t="str">
        <f>TRIM(Table1[[#This Row],[Chat Name]])</f>
        <v>Arcane Gate</v>
      </c>
      <c r="C87" s="2">
        <v>8</v>
      </c>
      <c r="D87" s="2">
        <v>45</v>
      </c>
      <c r="E87" s="2" t="s">
        <v>30</v>
      </c>
      <c r="F87" s="6" t="b">
        <v>0</v>
      </c>
      <c r="G87" s="6" t="b">
        <v>1</v>
      </c>
      <c r="H87" s="2" t="s">
        <v>34</v>
      </c>
      <c r="I87" s="2" t="b">
        <v>1</v>
      </c>
      <c r="J87" s="2" t="s">
        <v>301</v>
      </c>
      <c r="K87" s="2" t="s">
        <v>302</v>
      </c>
      <c r="L87" s="2" t="b">
        <v>0</v>
      </c>
      <c r="M87" s="2" t="s">
        <v>303</v>
      </c>
      <c r="N87" s="2" t="s">
        <v>304</v>
      </c>
      <c r="O87" s="2"/>
    </row>
    <row r="88" spans="1:16" ht="98.45">
      <c r="A88" s="3"/>
      <c r="B88" s="2" t="str">
        <f>TRIM(Table1[[#This Row],[Chat Name]])</f>
        <v/>
      </c>
      <c r="C88" s="2">
        <v>0</v>
      </c>
      <c r="D88" s="2">
        <v>0</v>
      </c>
      <c r="E88" s="2" t="s">
        <v>30</v>
      </c>
      <c r="F88" s="6" t="b">
        <v>0</v>
      </c>
      <c r="G88" s="6" t="b">
        <v>1</v>
      </c>
      <c r="H88" s="2" t="s">
        <v>34</v>
      </c>
      <c r="I88" s="2" t="b">
        <v>0</v>
      </c>
      <c r="J88" s="2" t="s">
        <v>19</v>
      </c>
      <c r="K88" s="2" t="s">
        <v>110</v>
      </c>
      <c r="L88" s="2" t="b">
        <v>0</v>
      </c>
      <c r="M88" s="2" t="s">
        <v>305</v>
      </c>
      <c r="N88" s="2"/>
      <c r="O88" s="2"/>
    </row>
    <row r="89" spans="1:16" ht="123">
      <c r="A89" s="3" t="s">
        <v>306</v>
      </c>
      <c r="B89" s="2" t="str">
        <f>TRIM(Table1[[#This Row],[Chat Name]])</f>
        <v>Arcane Lock</v>
      </c>
      <c r="C89" s="2">
        <v>3</v>
      </c>
      <c r="D89" s="2">
        <v>9</v>
      </c>
      <c r="E89" s="2" t="s">
        <v>30</v>
      </c>
      <c r="F89" s="6" t="b">
        <v>0</v>
      </c>
      <c r="G89" s="6" t="b">
        <v>1</v>
      </c>
      <c r="H89" s="2" t="s">
        <v>34</v>
      </c>
      <c r="I89" s="2" t="b">
        <v>0</v>
      </c>
      <c r="J89" s="2" t="s">
        <v>307</v>
      </c>
      <c r="K89" s="2" t="s">
        <v>110</v>
      </c>
      <c r="L89" s="2" t="b">
        <v>0</v>
      </c>
      <c r="M89" s="2" t="s">
        <v>308</v>
      </c>
      <c r="N89" s="2" t="s">
        <v>309</v>
      </c>
      <c r="O89" s="2"/>
    </row>
    <row r="90" spans="1:16" ht="72">
      <c r="A90" s="3" t="s">
        <v>310</v>
      </c>
      <c r="B90" s="2" t="str">
        <f>TRIM(Table1[[#This Row],[Chat Name]])</f>
        <v>Armor of Agathys</v>
      </c>
      <c r="C90" s="2">
        <v>1</v>
      </c>
      <c r="D90" s="2">
        <v>3</v>
      </c>
      <c r="E90" s="2" t="s">
        <v>153</v>
      </c>
      <c r="F90" s="6" t="b">
        <v>1</v>
      </c>
      <c r="G90" s="6" t="b">
        <v>0</v>
      </c>
      <c r="H90" s="2" t="s">
        <v>34</v>
      </c>
      <c r="I90" s="2" t="b">
        <v>0</v>
      </c>
      <c r="J90" s="2" t="s">
        <v>35</v>
      </c>
      <c r="K90" s="2" t="s">
        <v>59</v>
      </c>
      <c r="L90" s="2" t="b">
        <v>0</v>
      </c>
      <c r="M90" s="2" t="s">
        <v>311</v>
      </c>
      <c r="N90" s="2" t="s">
        <v>311</v>
      </c>
      <c r="O90" s="2" t="s">
        <v>312</v>
      </c>
      <c r="P90" s="13" t="s">
        <v>312</v>
      </c>
    </row>
    <row r="91" spans="1:16" ht="137.25">
      <c r="A91" s="3"/>
      <c r="B91" s="2" t="str">
        <f>TRIM(Table1[[#This Row],[Chat Name]])</f>
        <v/>
      </c>
      <c r="C91" s="2">
        <v>3</v>
      </c>
      <c r="D91" s="2">
        <v>9</v>
      </c>
      <c r="E91" s="2" t="s">
        <v>17</v>
      </c>
      <c r="F91" s="6" t="b">
        <v>0</v>
      </c>
      <c r="G91" s="6" t="b">
        <v>1</v>
      </c>
      <c r="H91" s="2" t="s">
        <v>34</v>
      </c>
      <c r="I91" s="2" t="b">
        <v>1</v>
      </c>
      <c r="J91" s="2" t="s">
        <v>35</v>
      </c>
      <c r="K91" s="2" t="s">
        <v>110</v>
      </c>
      <c r="L91" s="2" t="b">
        <v>0</v>
      </c>
      <c r="M91" s="2"/>
      <c r="N91" s="2" t="s">
        <v>313</v>
      </c>
      <c r="O91" s="2" t="s">
        <v>314</v>
      </c>
      <c r="P91" s="13" t="s">
        <v>315</v>
      </c>
    </row>
    <row r="92" spans="1:16" ht="92.1">
      <c r="A92" s="3" t="s">
        <v>316</v>
      </c>
      <c r="B92" s="2" t="str">
        <f>TRIM(Table1[[#This Row],[Chat Name]])</f>
        <v>Arsenal of Radiance</v>
      </c>
      <c r="C92" s="2">
        <v>12</v>
      </c>
      <c r="D92" s="2">
        <v>90</v>
      </c>
      <c r="E92" s="2" t="s">
        <v>80</v>
      </c>
      <c r="F92" s="7" t="b">
        <v>1</v>
      </c>
      <c r="G92" s="7" t="b">
        <v>0</v>
      </c>
      <c r="H92" s="2" t="s">
        <v>34</v>
      </c>
      <c r="I92" s="2" t="b">
        <v>1</v>
      </c>
      <c r="J92" s="2" t="s">
        <v>39</v>
      </c>
      <c r="K92" s="2" t="s">
        <v>160</v>
      </c>
      <c r="L92" s="2" t="b">
        <v>0</v>
      </c>
      <c r="M92" s="2"/>
      <c r="N92" s="8" t="s">
        <v>317</v>
      </c>
      <c r="O92" s="2"/>
    </row>
    <row r="93" spans="1:16" ht="100.9">
      <c r="A93" s="3" t="s">
        <v>318</v>
      </c>
      <c r="B93" s="2" t="str">
        <f>TRIM(Table1[[#This Row],[Chat Name]])</f>
        <v>Astral Blade</v>
      </c>
      <c r="C93" s="2">
        <v>4</v>
      </c>
      <c r="D93" s="2">
        <v>15</v>
      </c>
      <c r="E93" s="2" t="s">
        <v>23</v>
      </c>
      <c r="F93" s="7" t="b">
        <v>1</v>
      </c>
      <c r="G93" s="7" t="b">
        <v>0</v>
      </c>
      <c r="H93" s="2" t="s">
        <v>31</v>
      </c>
      <c r="I93" s="2" t="b">
        <v>1</v>
      </c>
      <c r="J93" s="2" t="s">
        <v>39</v>
      </c>
      <c r="K93" s="2" t="s">
        <v>319</v>
      </c>
      <c r="L93" s="2" t="b">
        <v>0</v>
      </c>
      <c r="M93" s="2"/>
      <c r="N93" s="2" t="s">
        <v>320</v>
      </c>
      <c r="O93" s="2" t="s">
        <v>321</v>
      </c>
      <c r="P93" s="13" t="s">
        <v>321</v>
      </c>
    </row>
    <row r="94" spans="1:16" ht="98.45">
      <c r="A94" s="3" t="s">
        <v>322</v>
      </c>
      <c r="B94" s="2" t="str">
        <f>TRIM(Table1[[#This Row],[Chat Name]])</f>
        <v>Tasha's Mind Whip</v>
      </c>
      <c r="C94" s="2">
        <v>2</v>
      </c>
      <c r="D94" s="2">
        <v>6</v>
      </c>
      <c r="E94" s="2" t="s">
        <v>73</v>
      </c>
      <c r="F94" s="6" t="b">
        <v>0</v>
      </c>
      <c r="G94" s="6" t="b">
        <v>1</v>
      </c>
      <c r="H94" s="2" t="s">
        <v>34</v>
      </c>
      <c r="I94" s="2" t="b">
        <v>0</v>
      </c>
      <c r="J94" s="2" t="s">
        <v>144</v>
      </c>
      <c r="K94" s="2" t="s">
        <v>64</v>
      </c>
      <c r="L94" s="2" t="b">
        <v>0</v>
      </c>
      <c r="M94" s="2" t="s">
        <v>323</v>
      </c>
      <c r="N94" s="2" t="s">
        <v>324</v>
      </c>
      <c r="O94" s="2" t="s">
        <v>325</v>
      </c>
      <c r="P94" s="13" t="s">
        <v>325</v>
      </c>
    </row>
    <row r="95" spans="1:16" ht="86.1">
      <c r="A95" s="3" t="s">
        <v>326</v>
      </c>
      <c r="B95" s="2" t="str">
        <f>TRIM(Table1[[#This Row],[Chat Name]])</f>
        <v>Aura of Life</v>
      </c>
      <c r="C95" s="2">
        <v>5</v>
      </c>
      <c r="D95" s="2">
        <v>21</v>
      </c>
      <c r="E95" s="2" t="s">
        <v>80</v>
      </c>
      <c r="F95" s="6" t="b">
        <v>1</v>
      </c>
      <c r="G95" s="6" t="b">
        <v>0</v>
      </c>
      <c r="H95" s="2" t="s">
        <v>34</v>
      </c>
      <c r="I95" s="2" t="b">
        <v>1</v>
      </c>
      <c r="J95" s="2" t="s">
        <v>301</v>
      </c>
      <c r="K95" s="2" t="s">
        <v>327</v>
      </c>
      <c r="L95" s="2" t="b">
        <v>0</v>
      </c>
      <c r="M95" s="2" t="s">
        <v>328</v>
      </c>
      <c r="N95" s="2" t="s">
        <v>329</v>
      </c>
      <c r="O95" s="2"/>
    </row>
    <row r="96" spans="1:16" ht="86.1">
      <c r="A96" s="3" t="s">
        <v>330</v>
      </c>
      <c r="B96" s="2" t="str">
        <f>TRIM(Table1[[#This Row],[Chat Name]])</f>
        <v>Aura of Purity</v>
      </c>
      <c r="C96" s="2">
        <v>5</v>
      </c>
      <c r="D96" s="2">
        <v>21</v>
      </c>
      <c r="E96" s="2" t="s">
        <v>80</v>
      </c>
      <c r="F96" s="6" t="b">
        <v>1</v>
      </c>
      <c r="G96" s="6" t="b">
        <v>0</v>
      </c>
      <c r="H96" s="2" t="s">
        <v>34</v>
      </c>
      <c r="I96" s="2" t="b">
        <v>1</v>
      </c>
      <c r="J96" s="2" t="s">
        <v>301</v>
      </c>
      <c r="K96" s="2" t="s">
        <v>327</v>
      </c>
      <c r="L96" s="2" t="b">
        <v>0</v>
      </c>
      <c r="M96" s="2" t="s">
        <v>331</v>
      </c>
      <c r="N96" s="2" t="s">
        <v>332</v>
      </c>
      <c r="O96" s="2"/>
    </row>
    <row r="97" spans="1:16" ht="49.15">
      <c r="A97" s="3" t="s">
        <v>333</v>
      </c>
      <c r="B97" s="2" t="str">
        <f>TRIM(Table1[[#This Row],[Chat Name]])</f>
        <v>Aura of Vitality</v>
      </c>
      <c r="C97" s="2">
        <v>4</v>
      </c>
      <c r="D97" s="2">
        <v>15</v>
      </c>
      <c r="E97" s="2" t="s">
        <v>80</v>
      </c>
      <c r="F97" s="6" t="b">
        <v>1</v>
      </c>
      <c r="G97" s="6" t="b">
        <v>0</v>
      </c>
      <c r="H97" s="2" t="s">
        <v>34</v>
      </c>
      <c r="I97" s="2" t="b">
        <v>1</v>
      </c>
      <c r="J97" s="2" t="s">
        <v>272</v>
      </c>
      <c r="K97" s="2" t="s">
        <v>327</v>
      </c>
      <c r="L97" s="2" t="b">
        <v>0</v>
      </c>
      <c r="M97" s="2" t="s">
        <v>334</v>
      </c>
      <c r="N97" s="2" t="s">
        <v>335</v>
      </c>
      <c r="O97" s="2"/>
    </row>
    <row r="98" spans="1:16" ht="172.15">
      <c r="A98" s="3" t="s">
        <v>336</v>
      </c>
      <c r="B98" s="2" t="str">
        <f>TRIM(Table1[[#This Row],[Chat Name]])</f>
        <v>Awaken</v>
      </c>
      <c r="C98" s="2">
        <v>7</v>
      </c>
      <c r="D98" s="2">
        <v>36</v>
      </c>
      <c r="E98" s="2" t="s">
        <v>244</v>
      </c>
      <c r="F98" s="6" t="b">
        <v>1</v>
      </c>
      <c r="G98" s="6" t="b">
        <v>0</v>
      </c>
      <c r="H98" s="2" t="s">
        <v>40</v>
      </c>
      <c r="I98" s="2" t="b">
        <v>0</v>
      </c>
      <c r="J98" s="2" t="s">
        <v>19</v>
      </c>
      <c r="K98" s="2" t="s">
        <v>110</v>
      </c>
      <c r="L98" s="2" t="b">
        <v>0</v>
      </c>
      <c r="M98" s="2" t="s">
        <v>337</v>
      </c>
      <c r="N98" s="2" t="s">
        <v>338</v>
      </c>
      <c r="O98" s="2"/>
    </row>
    <row r="99" spans="1:16" ht="61.5">
      <c r="A99" s="3" t="s">
        <v>17</v>
      </c>
      <c r="B99" s="2" t="str">
        <f>TRIM(Table1[[#This Row],[Chat Name]])</f>
        <v>Bane</v>
      </c>
      <c r="C99" s="2">
        <v>1</v>
      </c>
      <c r="D99" s="2">
        <v>3</v>
      </c>
      <c r="E99" s="2" t="s">
        <v>17</v>
      </c>
      <c r="F99" s="6" t="b">
        <v>0</v>
      </c>
      <c r="G99" s="6" t="b">
        <v>1</v>
      </c>
      <c r="H99" s="2" t="s">
        <v>34</v>
      </c>
      <c r="I99" s="2" t="b">
        <v>1</v>
      </c>
      <c r="J99" s="2" t="s">
        <v>272</v>
      </c>
      <c r="K99" s="2" t="s">
        <v>52</v>
      </c>
      <c r="L99" s="2" t="b">
        <v>0</v>
      </c>
      <c r="M99" s="2" t="s">
        <v>339</v>
      </c>
      <c r="N99" s="2" t="s">
        <v>340</v>
      </c>
      <c r="O99" s="2" t="s">
        <v>341</v>
      </c>
      <c r="P99" s="13" t="s">
        <v>341</v>
      </c>
    </row>
    <row r="100" spans="1:16" ht="172.15">
      <c r="A100" s="3" t="s">
        <v>342</v>
      </c>
      <c r="B100" s="2" t="str">
        <f>TRIM(Table1[[#This Row],[Chat Name]])</f>
        <v>Baneful Infection</v>
      </c>
      <c r="C100" s="2">
        <v>4</v>
      </c>
      <c r="D100" s="2">
        <v>15</v>
      </c>
      <c r="E100" s="2" t="s">
        <v>17</v>
      </c>
      <c r="F100" s="7" t="b">
        <v>0</v>
      </c>
      <c r="G100" s="7" t="b">
        <v>1</v>
      </c>
      <c r="H100" s="2" t="s">
        <v>34</v>
      </c>
      <c r="I100" s="2" t="b">
        <v>0</v>
      </c>
      <c r="J100" s="2" t="s">
        <v>343</v>
      </c>
      <c r="K100" s="2" t="s">
        <v>26</v>
      </c>
      <c r="L100" s="2" t="b">
        <v>0</v>
      </c>
      <c r="M100" s="2"/>
      <c r="N100" s="2" t="s">
        <v>344</v>
      </c>
      <c r="O100" s="2" t="s">
        <v>345</v>
      </c>
      <c r="P100" s="13" t="s">
        <v>345</v>
      </c>
    </row>
    <row r="101" spans="1:16" ht="135.4">
      <c r="A101" s="3" t="s">
        <v>346</v>
      </c>
      <c r="B101" s="2" t="str">
        <f>TRIM(Table1[[#This Row],[Chat Name]])</f>
        <v>Banishing Smite</v>
      </c>
      <c r="C101" s="2">
        <v>6</v>
      </c>
      <c r="D101" s="2">
        <v>27</v>
      </c>
      <c r="E101" s="2" t="s">
        <v>80</v>
      </c>
      <c r="F101" s="6" t="b">
        <v>1</v>
      </c>
      <c r="G101" s="6" t="b">
        <v>0</v>
      </c>
      <c r="H101" s="2" t="s">
        <v>31</v>
      </c>
      <c r="I101" s="2" t="b">
        <v>1</v>
      </c>
      <c r="J101" s="2" t="s">
        <v>272</v>
      </c>
      <c r="K101" s="2" t="s">
        <v>59</v>
      </c>
      <c r="L101" s="2" t="b">
        <v>0</v>
      </c>
      <c r="M101" s="2" t="s">
        <v>347</v>
      </c>
      <c r="N101" s="2" t="s">
        <v>348</v>
      </c>
      <c r="O101" s="2"/>
    </row>
    <row r="102" spans="1:16" ht="172.15">
      <c r="A102" s="3" t="s">
        <v>349</v>
      </c>
      <c r="B102" s="2" t="str">
        <f>TRIM(Table1[[#This Row],[Chat Name]])</f>
        <v>Banishment</v>
      </c>
      <c r="C102" s="2">
        <v>5</v>
      </c>
      <c r="D102" s="2">
        <v>21</v>
      </c>
      <c r="E102" s="2" t="s">
        <v>23</v>
      </c>
      <c r="F102" s="6" t="b">
        <v>1</v>
      </c>
      <c r="G102" s="6" t="b">
        <v>0</v>
      </c>
      <c r="H102" s="2" t="s">
        <v>34</v>
      </c>
      <c r="I102" s="2" t="b">
        <v>1</v>
      </c>
      <c r="J102" s="2" t="s">
        <v>272</v>
      </c>
      <c r="K102" s="2" t="s">
        <v>56</v>
      </c>
      <c r="L102" s="2" t="b">
        <v>0</v>
      </c>
      <c r="M102" s="2" t="s">
        <v>350</v>
      </c>
      <c r="N102" s="2" t="s">
        <v>351</v>
      </c>
      <c r="O102" s="2" t="s">
        <v>352</v>
      </c>
      <c r="P102" s="13" t="s">
        <v>352</v>
      </c>
    </row>
    <row r="103" spans="1:16" ht="49.15">
      <c r="A103" s="3" t="s">
        <v>353</v>
      </c>
      <c r="B103" s="2" t="str">
        <f>TRIM(Table1[[#This Row],[Chat Name]])</f>
        <v>Barkskin</v>
      </c>
      <c r="C103" s="2">
        <v>2</v>
      </c>
      <c r="D103" s="2">
        <v>6</v>
      </c>
      <c r="E103" s="2" t="s">
        <v>244</v>
      </c>
      <c r="F103" s="6" t="b">
        <v>1</v>
      </c>
      <c r="G103" s="6" t="b">
        <v>0</v>
      </c>
      <c r="H103" s="2" t="s">
        <v>34</v>
      </c>
      <c r="I103" s="2" t="b">
        <v>1</v>
      </c>
      <c r="J103" s="2" t="s">
        <v>245</v>
      </c>
      <c r="K103" s="2" t="s">
        <v>110</v>
      </c>
      <c r="L103" s="2" t="b">
        <v>0</v>
      </c>
      <c r="M103" s="2" t="s">
        <v>354</v>
      </c>
      <c r="N103" s="2" t="s">
        <v>355</v>
      </c>
      <c r="O103" s="2"/>
    </row>
    <row r="104" spans="1:16" ht="61.5">
      <c r="A104" s="3" t="s">
        <v>356</v>
      </c>
      <c r="B104" s="2" t="str">
        <f>TRIM(Table1[[#This Row],[Chat Name]])</f>
        <v>Beacon of Hope</v>
      </c>
      <c r="C104" s="2">
        <v>3</v>
      </c>
      <c r="D104" s="2">
        <v>9</v>
      </c>
      <c r="E104" s="2" t="s">
        <v>23</v>
      </c>
      <c r="F104" s="6" t="b">
        <v>1</v>
      </c>
      <c r="G104" s="6" t="b">
        <v>0</v>
      </c>
      <c r="H104" s="2" t="s">
        <v>34</v>
      </c>
      <c r="I104" s="2" t="b">
        <v>1</v>
      </c>
      <c r="J104" s="2" t="s">
        <v>272</v>
      </c>
      <c r="K104" s="2" t="s">
        <v>52</v>
      </c>
      <c r="L104" s="2" t="b">
        <v>0</v>
      </c>
      <c r="M104" s="2" t="s">
        <v>357</v>
      </c>
      <c r="N104" s="2" t="s">
        <v>358</v>
      </c>
      <c r="O104" s="2"/>
    </row>
    <row r="105" spans="1:16" ht="110.65">
      <c r="A105" s="3" t="s">
        <v>359</v>
      </c>
      <c r="B105" s="2" t="str">
        <f>TRIM(Table1[[#This Row],[Chat Name]])</f>
        <v>Beast Bond</v>
      </c>
      <c r="C105" s="2">
        <v>1</v>
      </c>
      <c r="D105" s="2">
        <v>3</v>
      </c>
      <c r="E105" s="2" t="s">
        <v>244</v>
      </c>
      <c r="F105" s="6" t="b">
        <v>1</v>
      </c>
      <c r="G105" s="6" t="b">
        <v>0</v>
      </c>
      <c r="H105" s="2" t="s">
        <v>34</v>
      </c>
      <c r="I105" s="2" t="b">
        <v>1</v>
      </c>
      <c r="J105" s="2" t="s">
        <v>301</v>
      </c>
      <c r="K105" s="2" t="s">
        <v>110</v>
      </c>
      <c r="L105" s="2" t="b">
        <v>0</v>
      </c>
      <c r="M105" s="2" t="s">
        <v>360</v>
      </c>
      <c r="N105" s="2" t="s">
        <v>361</v>
      </c>
      <c r="O105" s="2"/>
    </row>
    <row r="106" spans="1:16" ht="86.1">
      <c r="A106" s="3" t="s">
        <v>362</v>
      </c>
      <c r="B106" s="2" t="str">
        <f>TRIM(Table1[[#This Row],[Chat Name]])</f>
        <v>Beast Sense</v>
      </c>
      <c r="C106" s="2">
        <v>2</v>
      </c>
      <c r="D106" s="2">
        <v>6</v>
      </c>
      <c r="E106" s="2" t="s">
        <v>244</v>
      </c>
      <c r="F106" s="6" t="b">
        <v>1</v>
      </c>
      <c r="G106" s="6" t="b">
        <v>0</v>
      </c>
      <c r="H106" s="2" t="s">
        <v>34</v>
      </c>
      <c r="I106" s="2" t="b">
        <v>1</v>
      </c>
      <c r="J106" s="2" t="s">
        <v>245</v>
      </c>
      <c r="K106" s="2" t="s">
        <v>110</v>
      </c>
      <c r="L106" s="2" t="b">
        <v>1</v>
      </c>
      <c r="M106" s="2" t="s">
        <v>363</v>
      </c>
      <c r="N106" s="2" t="s">
        <v>364</v>
      </c>
      <c r="O106" s="2"/>
    </row>
    <row r="107" spans="1:16" ht="36.950000000000003">
      <c r="A107" s="3" t="s">
        <v>365</v>
      </c>
      <c r="B107" s="2" t="str">
        <f>TRIM(Table1[[#This Row],[Chat Name]])</f>
        <v>Divine Favor</v>
      </c>
      <c r="C107" s="2">
        <v>1</v>
      </c>
      <c r="D107" s="2">
        <v>3</v>
      </c>
      <c r="E107" s="2" t="s">
        <v>17</v>
      </c>
      <c r="F107" s="6" t="b">
        <v>0</v>
      </c>
      <c r="G107" s="6" t="b">
        <v>1</v>
      </c>
      <c r="H107" s="2" t="s">
        <v>31</v>
      </c>
      <c r="I107" s="2" t="b">
        <v>1</v>
      </c>
      <c r="J107" s="2" t="s">
        <v>272</v>
      </c>
      <c r="K107" s="2" t="s">
        <v>59</v>
      </c>
      <c r="L107" s="2" t="b">
        <v>0</v>
      </c>
      <c r="M107" s="2" t="s">
        <v>366</v>
      </c>
      <c r="N107" s="2" t="s">
        <v>367</v>
      </c>
      <c r="O107" s="2"/>
    </row>
    <row r="108" spans="1:16" ht="73.900000000000006">
      <c r="A108" s="3"/>
      <c r="B108" s="2" t="str">
        <f>TRIM(Table1[[#This Row],[Chat Name]])</f>
        <v/>
      </c>
      <c r="C108" s="2">
        <v>4</v>
      </c>
      <c r="D108" s="2">
        <v>15</v>
      </c>
      <c r="E108" s="2" t="s">
        <v>17</v>
      </c>
      <c r="F108" s="6" t="b">
        <v>0</v>
      </c>
      <c r="G108" s="6" t="b">
        <v>1</v>
      </c>
      <c r="H108" s="2" t="s">
        <v>34</v>
      </c>
      <c r="I108" s="2" t="b">
        <v>0</v>
      </c>
      <c r="J108" s="2" t="s">
        <v>19</v>
      </c>
      <c r="K108" s="2" t="s">
        <v>56</v>
      </c>
      <c r="L108" s="2" t="b">
        <v>0</v>
      </c>
      <c r="M108" s="2"/>
      <c r="N108" s="2" t="s">
        <v>368</v>
      </c>
      <c r="O108" s="2" t="s">
        <v>369</v>
      </c>
      <c r="P108" s="13" t="s">
        <v>370</v>
      </c>
    </row>
    <row r="109" spans="1:16" ht="184.5">
      <c r="A109" s="3" t="s">
        <v>371</v>
      </c>
      <c r="B109" s="2" t="str">
        <f>TRIM(Table1[[#This Row],[Chat Name]])</f>
        <v>Black Fireball</v>
      </c>
      <c r="C109" s="2">
        <v>9</v>
      </c>
      <c r="D109" s="2">
        <v>54</v>
      </c>
      <c r="E109" s="2" t="s">
        <v>17</v>
      </c>
      <c r="F109" s="7" t="b">
        <v>0</v>
      </c>
      <c r="G109" s="7" t="b">
        <v>1</v>
      </c>
      <c r="H109" s="2" t="s">
        <v>34</v>
      </c>
      <c r="I109" s="2" t="b">
        <v>1</v>
      </c>
      <c r="J109" s="2" t="s">
        <v>144</v>
      </c>
      <c r="K109" s="2" t="s">
        <v>372</v>
      </c>
      <c r="L109" s="2" t="b">
        <v>0</v>
      </c>
      <c r="M109" s="2"/>
      <c r="N109" s="2" t="s">
        <v>373</v>
      </c>
      <c r="O109" s="2" t="s">
        <v>374</v>
      </c>
      <c r="P109" s="13" t="s">
        <v>374</v>
      </c>
    </row>
    <row r="110" spans="1:16" ht="135.4">
      <c r="A110" s="3" t="s">
        <v>375</v>
      </c>
      <c r="B110" s="2" t="str">
        <f>TRIM(Table1[[#This Row],[Chat Name]])</f>
        <v>Blade Barrier</v>
      </c>
      <c r="C110" s="2">
        <v>8</v>
      </c>
      <c r="D110" s="2">
        <v>45</v>
      </c>
      <c r="E110" s="2" t="s">
        <v>96</v>
      </c>
      <c r="F110" s="6" t="b">
        <v>0</v>
      </c>
      <c r="G110" s="6" t="b">
        <v>1</v>
      </c>
      <c r="H110" s="2" t="s">
        <v>34</v>
      </c>
      <c r="I110" s="2" t="b">
        <v>1</v>
      </c>
      <c r="J110" s="2" t="s">
        <v>301</v>
      </c>
      <c r="K110" s="2" t="s">
        <v>64</v>
      </c>
      <c r="L110" s="2" t="b">
        <v>0</v>
      </c>
      <c r="M110" s="2" t="s">
        <v>376</v>
      </c>
      <c r="N110" s="2" t="s">
        <v>377</v>
      </c>
      <c r="O110" s="2"/>
    </row>
    <row r="111" spans="1:16" ht="159.94999999999999">
      <c r="A111" s="3" t="s">
        <v>378</v>
      </c>
      <c r="B111" s="2" t="str">
        <f>TRIM(Table1[[#This Row],[Chat Name]])</f>
        <v>Blade of Disaster</v>
      </c>
      <c r="C111" s="2">
        <v>12</v>
      </c>
      <c r="D111" s="2">
        <v>90</v>
      </c>
      <c r="E111" s="2" t="s">
        <v>96</v>
      </c>
      <c r="F111" s="6" t="b">
        <v>0</v>
      </c>
      <c r="G111" s="6" t="b">
        <v>1</v>
      </c>
      <c r="H111" s="2" t="s">
        <v>31</v>
      </c>
      <c r="I111" s="2" t="b">
        <v>1</v>
      </c>
      <c r="J111" s="2" t="s">
        <v>272</v>
      </c>
      <c r="K111" s="2" t="s">
        <v>56</v>
      </c>
      <c r="L111" s="2" t="b">
        <v>0</v>
      </c>
      <c r="M111" s="2" t="s">
        <v>379</v>
      </c>
      <c r="N111" s="2" t="s">
        <v>380</v>
      </c>
      <c r="O111" s="2"/>
    </row>
    <row r="112" spans="1:16" ht="49.15">
      <c r="A112" s="3" t="s">
        <v>381</v>
      </c>
      <c r="B112" s="2" t="str">
        <f>TRIM(Table1[[#This Row],[Chat Name]])</f>
        <v>Blade Ward</v>
      </c>
      <c r="C112" s="2">
        <v>0</v>
      </c>
      <c r="D112" s="2">
        <v>0</v>
      </c>
      <c r="E112" s="2" t="s">
        <v>96</v>
      </c>
      <c r="F112" s="6" t="b">
        <v>0</v>
      </c>
      <c r="G112" s="6" t="b">
        <v>1</v>
      </c>
      <c r="H112" s="2" t="s">
        <v>34</v>
      </c>
      <c r="I112" s="2" t="b">
        <v>0</v>
      </c>
      <c r="J112" s="2" t="s">
        <v>144</v>
      </c>
      <c r="K112" s="2" t="s">
        <v>59</v>
      </c>
      <c r="L112" s="2" t="b">
        <v>0</v>
      </c>
      <c r="M112" s="2" t="s">
        <v>382</v>
      </c>
      <c r="N112" s="2" t="s">
        <v>382</v>
      </c>
      <c r="O112" s="2"/>
    </row>
    <row r="113" spans="1:16" ht="24.6">
      <c r="A113" s="3"/>
      <c r="B113" s="2" t="str">
        <f>TRIM(Table1[[#This Row],[Chat Name]])</f>
        <v/>
      </c>
      <c r="C113" s="2">
        <v>0</v>
      </c>
      <c r="D113" s="2">
        <v>0</v>
      </c>
      <c r="E113" s="2" t="s">
        <v>30</v>
      </c>
      <c r="F113" s="6" t="b">
        <v>0</v>
      </c>
      <c r="G113" s="6" t="b">
        <v>1</v>
      </c>
      <c r="H113" s="2" t="s">
        <v>383</v>
      </c>
      <c r="I113" s="2" t="b">
        <v>0</v>
      </c>
      <c r="J113" s="2" t="s">
        <v>19</v>
      </c>
      <c r="K113" s="2" t="s">
        <v>59</v>
      </c>
      <c r="L113" s="2" t="b">
        <v>0</v>
      </c>
      <c r="M113" s="2" t="s">
        <v>384</v>
      </c>
      <c r="N113" s="2" t="s">
        <v>384</v>
      </c>
      <c r="O113" s="2"/>
    </row>
    <row r="114" spans="1:16" ht="159.94999999999999">
      <c r="A114" s="3"/>
      <c r="B114" s="2" t="str">
        <f>TRIM(Table1[[#This Row],[Chat Name]])</f>
        <v/>
      </c>
      <c r="C114" s="2">
        <v>3</v>
      </c>
      <c r="D114" s="2">
        <v>9</v>
      </c>
      <c r="E114" s="2" t="s">
        <v>153</v>
      </c>
      <c r="F114" s="6" t="b">
        <v>1</v>
      </c>
      <c r="G114" s="6" t="b">
        <v>0</v>
      </c>
      <c r="H114" s="2" t="s">
        <v>31</v>
      </c>
      <c r="I114" s="2" t="b">
        <v>0</v>
      </c>
      <c r="J114" s="2" t="s">
        <v>19</v>
      </c>
      <c r="K114" s="2" t="s">
        <v>59</v>
      </c>
      <c r="L114" s="2" t="b">
        <v>0</v>
      </c>
      <c r="M114" s="2"/>
      <c r="N114" s="2" t="s">
        <v>385</v>
      </c>
      <c r="O114" s="2" t="s">
        <v>386</v>
      </c>
      <c r="P114" s="13" t="s">
        <v>387</v>
      </c>
    </row>
    <row r="115" spans="1:16" ht="98.45">
      <c r="A115" s="3" t="s">
        <v>388</v>
      </c>
      <c r="B115" s="2" t="str">
        <f>TRIM(Table1[[#This Row],[Chat Name]])</f>
        <v>Blight</v>
      </c>
      <c r="C115" s="2">
        <v>5</v>
      </c>
      <c r="D115" s="2">
        <v>21</v>
      </c>
      <c r="E115" s="2" t="s">
        <v>96</v>
      </c>
      <c r="F115" s="6" t="b">
        <v>0</v>
      </c>
      <c r="G115" s="6" t="b">
        <v>1</v>
      </c>
      <c r="H115" s="2" t="s">
        <v>34</v>
      </c>
      <c r="I115" s="2" t="b">
        <v>0</v>
      </c>
      <c r="J115" s="2" t="s">
        <v>19</v>
      </c>
      <c r="K115" s="2" t="s">
        <v>52</v>
      </c>
      <c r="L115" s="2" t="b">
        <v>0</v>
      </c>
      <c r="M115" s="2" t="s">
        <v>389</v>
      </c>
      <c r="N115" s="2" t="s">
        <v>390</v>
      </c>
      <c r="O115" s="2" t="s">
        <v>391</v>
      </c>
      <c r="P115" s="13" t="s">
        <v>391</v>
      </c>
    </row>
    <row r="116" spans="1:16" ht="86.1">
      <c r="A116" s="3" t="s">
        <v>392</v>
      </c>
      <c r="B116" s="2" t="str">
        <f>TRIM(Table1[[#This Row],[Chat Name]])</f>
        <v>Blinding Smite</v>
      </c>
      <c r="C116" s="2">
        <v>3</v>
      </c>
      <c r="D116" s="2">
        <v>9</v>
      </c>
      <c r="E116" s="2" t="s">
        <v>80</v>
      </c>
      <c r="F116" s="6" t="b">
        <v>1</v>
      </c>
      <c r="G116" s="6" t="b">
        <v>0</v>
      </c>
      <c r="H116" s="2" t="s">
        <v>31</v>
      </c>
      <c r="I116" s="2" t="b">
        <v>1</v>
      </c>
      <c r="J116" s="2" t="s">
        <v>272</v>
      </c>
      <c r="K116" s="2" t="s">
        <v>59</v>
      </c>
      <c r="L116" s="2" t="b">
        <v>0</v>
      </c>
      <c r="M116" s="2" t="s">
        <v>393</v>
      </c>
      <c r="N116" s="2" t="s">
        <v>394</v>
      </c>
      <c r="O116" s="2"/>
    </row>
    <row r="117" spans="1:16" ht="61.5">
      <c r="A117" s="3" t="s">
        <v>395</v>
      </c>
      <c r="B117" s="2" t="str">
        <f>TRIM(Table1[[#This Row],[Chat Name]])</f>
        <v>Blindness/Deafness</v>
      </c>
      <c r="C117" s="2">
        <v>2</v>
      </c>
      <c r="D117" s="2">
        <v>6</v>
      </c>
      <c r="E117" s="2" t="s">
        <v>96</v>
      </c>
      <c r="F117" s="6" t="b">
        <v>0</v>
      </c>
      <c r="G117" s="6" t="b">
        <v>1</v>
      </c>
      <c r="H117" s="2" t="s">
        <v>34</v>
      </c>
      <c r="I117" s="2" t="b">
        <v>0</v>
      </c>
      <c r="J117" s="2" t="s">
        <v>39</v>
      </c>
      <c r="K117" s="2" t="s">
        <v>52</v>
      </c>
      <c r="L117" s="2" t="b">
        <v>0</v>
      </c>
      <c r="M117" s="2" t="s">
        <v>396</v>
      </c>
      <c r="N117" s="2" t="s">
        <v>397</v>
      </c>
      <c r="O117" s="2" t="s">
        <v>398</v>
      </c>
      <c r="P117" s="13" t="s">
        <v>398</v>
      </c>
    </row>
    <row r="118" spans="1:16" ht="61.5">
      <c r="A118" s="3"/>
      <c r="B118" s="2" t="str">
        <f>TRIM(Table1[[#This Row],[Chat Name]])</f>
        <v/>
      </c>
      <c r="C118" s="2">
        <v>7</v>
      </c>
      <c r="D118" s="2">
        <v>36</v>
      </c>
      <c r="E118" s="2" t="s">
        <v>17</v>
      </c>
      <c r="F118" s="6" t="b">
        <v>0</v>
      </c>
      <c r="G118" s="6" t="b">
        <v>1</v>
      </c>
      <c r="H118" s="2" t="s">
        <v>34</v>
      </c>
      <c r="I118" s="2" t="b">
        <v>1</v>
      </c>
      <c r="J118" s="2" t="s">
        <v>40</v>
      </c>
      <c r="K118" s="2" t="s">
        <v>56</v>
      </c>
      <c r="L118" s="2" t="b">
        <v>0</v>
      </c>
      <c r="M118" s="2"/>
      <c r="N118" s="2" t="s">
        <v>399</v>
      </c>
      <c r="O118" s="2" t="s">
        <v>400</v>
      </c>
      <c r="P118" s="13" t="s">
        <v>401</v>
      </c>
    </row>
    <row r="119" spans="1:16" ht="86.1">
      <c r="A119" s="3" t="s">
        <v>402</v>
      </c>
      <c r="B119" s="2" t="str">
        <f>TRIM(Table1[[#This Row],[Chat Name]])</f>
        <v>Blood Infusion</v>
      </c>
      <c r="C119" s="2">
        <v>2</v>
      </c>
      <c r="D119" s="2">
        <v>6</v>
      </c>
      <c r="E119" s="2" t="s">
        <v>17</v>
      </c>
      <c r="F119" s="7" t="b">
        <v>0</v>
      </c>
      <c r="G119" s="7" t="b">
        <v>1</v>
      </c>
      <c r="H119" s="2" t="s">
        <v>34</v>
      </c>
      <c r="I119" s="2" t="b">
        <v>1</v>
      </c>
      <c r="J119" s="2" t="s">
        <v>39</v>
      </c>
      <c r="K119" s="2" t="s">
        <v>319</v>
      </c>
      <c r="L119" s="2" t="b">
        <v>0</v>
      </c>
      <c r="M119" s="2"/>
      <c r="N119" s="2" t="s">
        <v>403</v>
      </c>
      <c r="O119" s="2" t="s">
        <v>404</v>
      </c>
      <c r="P119" s="13" t="s">
        <v>404</v>
      </c>
    </row>
    <row r="120" spans="1:16" ht="61.5">
      <c r="A120" s="3" t="s">
        <v>405</v>
      </c>
      <c r="B120" s="2" t="str">
        <f>TRIM(Table1[[#This Row],[Chat Name]])</f>
        <v>Blur</v>
      </c>
      <c r="C120" s="2">
        <v>2</v>
      </c>
      <c r="D120" s="2">
        <v>6</v>
      </c>
      <c r="E120" s="2" t="s">
        <v>96</v>
      </c>
      <c r="F120" s="6" t="b">
        <v>0</v>
      </c>
      <c r="G120" s="6" t="b">
        <v>1</v>
      </c>
      <c r="H120" s="2" t="s">
        <v>34</v>
      </c>
      <c r="I120" s="2" t="b">
        <v>1</v>
      </c>
      <c r="J120" s="2" t="s">
        <v>272</v>
      </c>
      <c r="K120" s="2" t="s">
        <v>59</v>
      </c>
      <c r="L120" s="2" t="b">
        <v>0</v>
      </c>
      <c r="M120" s="2" t="s">
        <v>406</v>
      </c>
      <c r="N120" s="2" t="s">
        <v>406</v>
      </c>
      <c r="O120" s="2"/>
    </row>
    <row r="121" spans="1:16" ht="73.900000000000006">
      <c r="A121" s="3" t="s">
        <v>407</v>
      </c>
      <c r="B121" s="2" t="str">
        <f>TRIM(Table1[[#This Row],[Chat Name]])</f>
        <v>Bolstered Arrow</v>
      </c>
      <c r="C121" s="2">
        <v>1</v>
      </c>
      <c r="D121" s="2">
        <v>3</v>
      </c>
      <c r="E121" s="2" t="s">
        <v>80</v>
      </c>
      <c r="F121" s="7" t="b">
        <v>1</v>
      </c>
      <c r="G121" s="7" t="b">
        <v>0</v>
      </c>
      <c r="H121" s="2" t="s">
        <v>31</v>
      </c>
      <c r="I121" s="2" t="b">
        <v>1</v>
      </c>
      <c r="J121" s="2" t="s">
        <v>18</v>
      </c>
      <c r="K121" s="2" t="s">
        <v>26</v>
      </c>
      <c r="L121" s="2" t="b">
        <v>1</v>
      </c>
      <c r="M121" s="2"/>
      <c r="N121" s="2" t="s">
        <v>408</v>
      </c>
      <c r="O121" s="2" t="s">
        <v>409</v>
      </c>
      <c r="P121" s="13" t="s">
        <v>409</v>
      </c>
    </row>
    <row r="122" spans="1:16" ht="246">
      <c r="A122" s="3" t="s">
        <v>410</v>
      </c>
      <c r="B122" s="2" t="str">
        <f>TRIM(Table1[[#This Row],[Chat Name]])</f>
        <v>Bones of the Earth</v>
      </c>
      <c r="C122" s="2">
        <v>7</v>
      </c>
      <c r="D122" s="2">
        <v>36</v>
      </c>
      <c r="E122" s="2" t="s">
        <v>244</v>
      </c>
      <c r="F122" s="6" t="b">
        <v>1</v>
      </c>
      <c r="G122" s="6" t="b">
        <v>0</v>
      </c>
      <c r="H122" s="2" t="s">
        <v>34</v>
      </c>
      <c r="I122" s="2" t="b">
        <v>0</v>
      </c>
      <c r="J122" s="2" t="s">
        <v>19</v>
      </c>
      <c r="K122" s="2" t="s">
        <v>160</v>
      </c>
      <c r="L122" s="2" t="b">
        <v>0</v>
      </c>
      <c r="M122" s="2" t="s">
        <v>411</v>
      </c>
      <c r="N122" s="2" t="s">
        <v>412</v>
      </c>
      <c r="O122" s="2" t="s">
        <v>413</v>
      </c>
      <c r="P122" s="13" t="s">
        <v>413</v>
      </c>
    </row>
    <row r="123" spans="1:16" ht="135.4">
      <c r="A123" s="3" t="s">
        <v>414</v>
      </c>
      <c r="B123" s="2" t="str">
        <f>TRIM(Table1[[#This Row],[Chat Name]])</f>
        <v>Booming Blade</v>
      </c>
      <c r="C123" s="2">
        <v>0</v>
      </c>
      <c r="D123" s="2">
        <v>0</v>
      </c>
      <c r="E123" s="2" t="s">
        <v>30</v>
      </c>
      <c r="F123" s="6" t="b">
        <v>0</v>
      </c>
      <c r="G123" s="6" t="b">
        <v>1</v>
      </c>
      <c r="H123" s="2" t="s">
        <v>34</v>
      </c>
      <c r="I123" s="2" t="b">
        <v>0</v>
      </c>
      <c r="J123" s="2" t="s">
        <v>144</v>
      </c>
      <c r="K123" s="2" t="s">
        <v>415</v>
      </c>
      <c r="L123" s="2" t="b">
        <v>0</v>
      </c>
      <c r="M123" s="2" t="s">
        <v>416</v>
      </c>
      <c r="N123" s="2" t="s">
        <v>417</v>
      </c>
      <c r="O123" s="2"/>
    </row>
    <row r="124" spans="1:16" ht="61.5">
      <c r="A124" s="3"/>
      <c r="B124" s="2" t="str">
        <f>TRIM(Table1[[#This Row],[Chat Name]])</f>
        <v/>
      </c>
      <c r="C124" s="2">
        <v>2</v>
      </c>
      <c r="D124" s="2">
        <v>6</v>
      </c>
      <c r="E124" s="2" t="s">
        <v>244</v>
      </c>
      <c r="F124" s="6" t="b">
        <v>1</v>
      </c>
      <c r="G124" s="6" t="b">
        <v>0</v>
      </c>
      <c r="H124" s="2" t="s">
        <v>39</v>
      </c>
      <c r="I124" s="2" t="b">
        <v>0</v>
      </c>
      <c r="J124" s="2" t="s">
        <v>40</v>
      </c>
      <c r="K124" s="2" t="s">
        <v>110</v>
      </c>
      <c r="L124" s="2" t="b">
        <v>0</v>
      </c>
      <c r="M124" s="2"/>
      <c r="N124" s="2" t="s">
        <v>418</v>
      </c>
      <c r="O124" s="2" t="s">
        <v>419</v>
      </c>
      <c r="P124" s="13" t="s">
        <v>420</v>
      </c>
    </row>
    <row r="125" spans="1:16" ht="49.15">
      <c r="A125" s="3" t="s">
        <v>421</v>
      </c>
      <c r="B125" s="2" t="str">
        <f>TRIM(Table1[[#This Row],[Chat Name]])</f>
        <v>Borrowed Knowledge</v>
      </c>
      <c r="C125" s="2">
        <v>2</v>
      </c>
      <c r="D125" s="2">
        <v>6</v>
      </c>
      <c r="E125" s="2" t="s">
        <v>73</v>
      </c>
      <c r="F125" s="6" t="b">
        <v>0</v>
      </c>
      <c r="G125" s="6" t="b">
        <v>1</v>
      </c>
      <c r="H125" s="2" t="s">
        <v>34</v>
      </c>
      <c r="I125" s="2" t="b">
        <v>0</v>
      </c>
      <c r="J125" s="2" t="s">
        <v>35</v>
      </c>
      <c r="K125" s="2" t="s">
        <v>59</v>
      </c>
      <c r="L125" s="2" t="b">
        <v>0</v>
      </c>
      <c r="M125" s="2" t="s">
        <v>422</v>
      </c>
      <c r="N125" s="2" t="s">
        <v>423</v>
      </c>
      <c r="O125" s="2"/>
    </row>
    <row r="126" spans="1:16" ht="49.15">
      <c r="A126" s="3"/>
      <c r="B126" s="2" t="str">
        <f>TRIM(Table1[[#This Row],[Chat Name]])</f>
        <v/>
      </c>
      <c r="C126" s="2">
        <v>4</v>
      </c>
      <c r="D126" s="2">
        <v>15</v>
      </c>
      <c r="E126" s="2" t="s">
        <v>96</v>
      </c>
      <c r="F126" s="6" t="b">
        <v>0</v>
      </c>
      <c r="G126" s="6" t="b">
        <v>1</v>
      </c>
      <c r="H126" s="2" t="s">
        <v>34</v>
      </c>
      <c r="I126" s="2" t="b">
        <v>1</v>
      </c>
      <c r="J126" s="2" t="s">
        <v>39</v>
      </c>
      <c r="K126" s="2" t="s">
        <v>56</v>
      </c>
      <c r="L126" s="2" t="b">
        <v>0</v>
      </c>
      <c r="M126" s="2"/>
      <c r="N126" s="2" t="s">
        <v>424</v>
      </c>
      <c r="O126" s="2"/>
    </row>
    <row r="127" spans="1:16" ht="73.900000000000006">
      <c r="A127" s="3" t="s">
        <v>425</v>
      </c>
      <c r="B127" s="2" t="str">
        <f>TRIM(Table1[[#This Row],[Chat Name]])</f>
        <v>Branding Smite</v>
      </c>
      <c r="C127" s="2">
        <v>2</v>
      </c>
      <c r="D127" s="2">
        <v>6</v>
      </c>
      <c r="E127" s="2" t="s">
        <v>80</v>
      </c>
      <c r="F127" s="6" t="b">
        <v>1</v>
      </c>
      <c r="G127" s="6" t="b">
        <v>0</v>
      </c>
      <c r="H127" s="2" t="s">
        <v>31</v>
      </c>
      <c r="I127" s="2" t="b">
        <v>1</v>
      </c>
      <c r="J127" s="2" t="s">
        <v>272</v>
      </c>
      <c r="K127" s="2" t="s">
        <v>59</v>
      </c>
      <c r="L127" s="2" t="b">
        <v>0</v>
      </c>
      <c r="M127" s="2" t="s">
        <v>426</v>
      </c>
      <c r="N127" s="2" t="s">
        <v>427</v>
      </c>
      <c r="O127" s="2" t="s">
        <v>428</v>
      </c>
      <c r="P127" s="13" t="s">
        <v>428</v>
      </c>
    </row>
    <row r="128" spans="1:16" ht="49.15">
      <c r="A128" s="3"/>
      <c r="B128" s="2" t="str">
        <f>TRIM(Table1[[#This Row],[Chat Name]])</f>
        <v/>
      </c>
      <c r="C128" s="2">
        <v>0</v>
      </c>
      <c r="D128" s="2">
        <v>0</v>
      </c>
      <c r="E128" s="2" t="s">
        <v>23</v>
      </c>
      <c r="F128" s="6" t="b">
        <v>1</v>
      </c>
      <c r="G128" s="6" t="b">
        <v>0</v>
      </c>
      <c r="H128" s="2" t="s">
        <v>429</v>
      </c>
      <c r="I128" s="2" t="b">
        <v>0</v>
      </c>
      <c r="J128" s="2" t="s">
        <v>19</v>
      </c>
      <c r="K128" s="2" t="s">
        <v>140</v>
      </c>
      <c r="L128" s="2" t="b">
        <v>0</v>
      </c>
      <c r="M128" s="2"/>
      <c r="N128" s="2" t="s">
        <v>430</v>
      </c>
      <c r="O128" s="2"/>
    </row>
    <row r="129" spans="1:16" ht="86.1">
      <c r="A129" s="3" t="s">
        <v>431</v>
      </c>
      <c r="B129" s="2" t="str">
        <f>TRIM(Table1[[#This Row],[Chat Name]])</f>
        <v>Burning Hands</v>
      </c>
      <c r="C129" s="2">
        <v>1</v>
      </c>
      <c r="D129" s="2">
        <v>3</v>
      </c>
      <c r="E129" s="2" t="s">
        <v>153</v>
      </c>
      <c r="F129" s="6" t="b">
        <v>1</v>
      </c>
      <c r="G129" s="6" t="b">
        <v>0</v>
      </c>
      <c r="H129" s="2" t="s">
        <v>34</v>
      </c>
      <c r="I129" s="2" t="b">
        <v>0</v>
      </c>
      <c r="J129" s="2" t="s">
        <v>19</v>
      </c>
      <c r="K129" s="2" t="s">
        <v>432</v>
      </c>
      <c r="L129" s="2" t="b">
        <v>0</v>
      </c>
      <c r="M129" s="2" t="s">
        <v>433</v>
      </c>
      <c r="N129" s="2" t="s">
        <v>434</v>
      </c>
      <c r="O129" s="2" t="s">
        <v>435</v>
      </c>
      <c r="P129" s="13" t="s">
        <v>435</v>
      </c>
    </row>
    <row r="130" spans="1:16" ht="409.5">
      <c r="A130" s="3" t="s">
        <v>436</v>
      </c>
      <c r="B130" s="2" t="str">
        <f>TRIM(Table1[[#This Row],[Chat Name]])</f>
        <v>Magic Jar</v>
      </c>
      <c r="C130" s="2">
        <v>8</v>
      </c>
      <c r="D130" s="2">
        <v>45</v>
      </c>
      <c r="E130" s="2" t="s">
        <v>96</v>
      </c>
      <c r="F130" s="6" t="b">
        <v>0</v>
      </c>
      <c r="G130" s="6" t="b">
        <v>1</v>
      </c>
      <c r="H130" s="2" t="s">
        <v>39</v>
      </c>
      <c r="I130" s="2" t="b">
        <v>0</v>
      </c>
      <c r="J130" s="2" t="s">
        <v>307</v>
      </c>
      <c r="K130" s="2" t="s">
        <v>59</v>
      </c>
      <c r="L130" s="2" t="b">
        <v>0</v>
      </c>
      <c r="M130" s="2" t="s">
        <v>437</v>
      </c>
      <c r="N130" s="2" t="s">
        <v>438</v>
      </c>
      <c r="O130" s="2"/>
    </row>
    <row r="131" spans="1:16" ht="196.9">
      <c r="A131" s="3" t="s">
        <v>439</v>
      </c>
      <c r="B131" s="2" t="str">
        <f>TRIM(Table1[[#This Row],[Chat Name]])</f>
        <v>Call Lightning</v>
      </c>
      <c r="C131" s="2">
        <v>4</v>
      </c>
      <c r="D131" s="2">
        <v>15</v>
      </c>
      <c r="E131" s="2" t="s">
        <v>244</v>
      </c>
      <c r="F131" s="6" t="b">
        <v>1</v>
      </c>
      <c r="G131" s="6" t="b">
        <v>0</v>
      </c>
      <c r="H131" s="2" t="s">
        <v>34</v>
      </c>
      <c r="I131" s="2" t="b">
        <v>1</v>
      </c>
      <c r="J131" s="2" t="s">
        <v>301</v>
      </c>
      <c r="K131" s="2" t="s">
        <v>160</v>
      </c>
      <c r="L131" s="2" t="b">
        <v>0</v>
      </c>
      <c r="M131" s="2" t="s">
        <v>440</v>
      </c>
      <c r="N131" s="2" t="s">
        <v>441</v>
      </c>
      <c r="O131" s="2" t="s">
        <v>442</v>
      </c>
      <c r="P131" s="13" t="s">
        <v>442</v>
      </c>
    </row>
    <row r="132" spans="1:16" ht="172.15">
      <c r="A132" s="3" t="s">
        <v>443</v>
      </c>
      <c r="B132" s="2" t="str">
        <f>TRIM(Table1[[#This Row],[Chat Name]])</f>
        <v>Calm Emotions</v>
      </c>
      <c r="C132" s="2">
        <v>2</v>
      </c>
      <c r="D132" s="2">
        <v>6</v>
      </c>
      <c r="E132" s="2" t="s">
        <v>73</v>
      </c>
      <c r="F132" s="6" t="b">
        <v>0</v>
      </c>
      <c r="G132" s="6" t="b">
        <v>1</v>
      </c>
      <c r="H132" s="2" t="s">
        <v>34</v>
      </c>
      <c r="I132" s="2" t="b">
        <v>1</v>
      </c>
      <c r="J132" s="2" t="s">
        <v>272</v>
      </c>
      <c r="K132" s="2" t="s">
        <v>56</v>
      </c>
      <c r="L132" s="2" t="b">
        <v>0</v>
      </c>
      <c r="M132" s="2" t="s">
        <v>444</v>
      </c>
      <c r="N132" s="2" t="s">
        <v>445</v>
      </c>
      <c r="O132" s="2"/>
    </row>
    <row r="133" spans="1:16" ht="98.45">
      <c r="A133" s="3" t="s">
        <v>446</v>
      </c>
      <c r="B133" s="2" t="str">
        <f>TRIM(Table1[[#This Row],[Chat Name]])</f>
        <v>Catapult</v>
      </c>
      <c r="C133" s="2">
        <v>1</v>
      </c>
      <c r="D133" s="2">
        <v>3</v>
      </c>
      <c r="E133" s="2" t="s">
        <v>96</v>
      </c>
      <c r="F133" s="6" t="b">
        <v>0</v>
      </c>
      <c r="G133" s="6" t="b">
        <v>1</v>
      </c>
      <c r="H133" s="2" t="s">
        <v>34</v>
      </c>
      <c r="I133" s="2" t="b">
        <v>0</v>
      </c>
      <c r="J133" s="2" t="s">
        <v>19</v>
      </c>
      <c r="K133" s="2" t="s">
        <v>56</v>
      </c>
      <c r="L133" s="2" t="b">
        <v>0</v>
      </c>
      <c r="M133" s="2" t="s">
        <v>447</v>
      </c>
      <c r="N133" s="2" t="s">
        <v>448</v>
      </c>
      <c r="O133" s="2" t="s">
        <v>449</v>
      </c>
      <c r="P133" s="13" t="s">
        <v>449</v>
      </c>
    </row>
    <row r="134" spans="1:16" ht="86.1">
      <c r="A134" s="3"/>
      <c r="B134" s="2" t="str">
        <f>TRIM(Table1[[#This Row],[Chat Name]])</f>
        <v/>
      </c>
      <c r="C134" s="2">
        <v>4</v>
      </c>
      <c r="D134" s="2">
        <v>15</v>
      </c>
      <c r="E134" s="2" t="s">
        <v>244</v>
      </c>
      <c r="F134" s="6" t="b">
        <v>1</v>
      </c>
      <c r="G134" s="6" t="b">
        <v>0</v>
      </c>
      <c r="H134" s="2" t="s">
        <v>34</v>
      </c>
      <c r="I134" s="2" t="b">
        <v>0</v>
      </c>
      <c r="J134" s="2" t="s">
        <v>18</v>
      </c>
      <c r="K134" s="2" t="s">
        <v>52</v>
      </c>
      <c r="L134" s="2" t="b">
        <v>0</v>
      </c>
      <c r="M134" s="2"/>
      <c r="N134" s="2" t="s">
        <v>450</v>
      </c>
      <c r="O134" s="2" t="s">
        <v>451</v>
      </c>
      <c r="P134" s="13" t="s">
        <v>451</v>
      </c>
    </row>
    <row r="135" spans="1:16" ht="86.45">
      <c r="A135" s="3" t="s">
        <v>452</v>
      </c>
      <c r="B135" s="2" t="str">
        <f>TRIM(Table1[[#This Row],[Chat Name]])</f>
        <v>Cause Fear</v>
      </c>
      <c r="C135" s="2">
        <v>1</v>
      </c>
      <c r="D135" s="2">
        <v>3</v>
      </c>
      <c r="E135" s="2" t="s">
        <v>17</v>
      </c>
      <c r="F135" s="6" t="b">
        <v>0</v>
      </c>
      <c r="G135" s="6" t="b">
        <v>1</v>
      </c>
      <c r="H135" s="2" t="s">
        <v>34</v>
      </c>
      <c r="I135" s="2" t="b">
        <v>1</v>
      </c>
      <c r="J135" s="2" t="s">
        <v>272</v>
      </c>
      <c r="K135" s="2" t="s">
        <v>56</v>
      </c>
      <c r="L135" s="2" t="b">
        <v>0</v>
      </c>
      <c r="M135" s="2" t="s">
        <v>453</v>
      </c>
      <c r="N135" s="2" t="s">
        <v>454</v>
      </c>
      <c r="O135" s="2" t="s">
        <v>455</v>
      </c>
      <c r="P135" s="13" t="s">
        <v>455</v>
      </c>
    </row>
    <row r="136" spans="1:16" ht="270.60000000000002">
      <c r="A136" s="3" t="s">
        <v>456</v>
      </c>
      <c r="B136" s="2" t="str">
        <f>TRIM(Table1[[#This Row],[Chat Name]])</f>
        <v>Ceremony</v>
      </c>
      <c r="C136" s="2">
        <v>2</v>
      </c>
      <c r="D136" s="2">
        <v>6</v>
      </c>
      <c r="E136" s="2" t="s">
        <v>80</v>
      </c>
      <c r="F136" s="6" t="b">
        <v>1</v>
      </c>
      <c r="G136" s="6" t="b">
        <v>0</v>
      </c>
      <c r="H136" s="2" t="s">
        <v>35</v>
      </c>
      <c r="I136" s="2" t="b">
        <v>0</v>
      </c>
      <c r="J136" s="2" t="s">
        <v>19</v>
      </c>
      <c r="K136" s="2" t="s">
        <v>110</v>
      </c>
      <c r="L136" s="2" t="b">
        <v>1</v>
      </c>
      <c r="M136" s="2" t="s">
        <v>457</v>
      </c>
      <c r="N136" s="2" t="s">
        <v>458</v>
      </c>
      <c r="O136" s="2"/>
    </row>
    <row r="137" spans="1:16" ht="98.45">
      <c r="A137" s="3" t="s">
        <v>459</v>
      </c>
      <c r="B137" s="2" t="str">
        <f>TRIM(Table1[[#This Row],[Chat Name]])</f>
        <v>Chain Lightning</v>
      </c>
      <c r="C137" s="2">
        <v>8</v>
      </c>
      <c r="D137" s="2">
        <v>45</v>
      </c>
      <c r="E137" s="2" t="s">
        <v>153</v>
      </c>
      <c r="F137" s="6" t="b">
        <v>1</v>
      </c>
      <c r="G137" s="6" t="b">
        <v>0</v>
      </c>
      <c r="H137" s="2" t="s">
        <v>34</v>
      </c>
      <c r="I137" s="2" t="b">
        <v>0</v>
      </c>
      <c r="J137" s="2" t="s">
        <v>19</v>
      </c>
      <c r="K137" s="2" t="s">
        <v>460</v>
      </c>
      <c r="L137" s="2" t="b">
        <v>0</v>
      </c>
      <c r="M137" s="2" t="s">
        <v>461</v>
      </c>
      <c r="N137" s="2" t="s">
        <v>462</v>
      </c>
      <c r="O137" s="2" t="s">
        <v>463</v>
      </c>
      <c r="P137" s="13" t="s">
        <v>463</v>
      </c>
    </row>
    <row r="138" spans="1:16" ht="409.5">
      <c r="A138" s="3"/>
      <c r="B138" s="2" t="str">
        <f>TRIM(Table1[[#This Row],[Chat Name]])</f>
        <v/>
      </c>
      <c r="C138" s="2">
        <v>3</v>
      </c>
      <c r="D138" s="2">
        <v>9</v>
      </c>
      <c r="E138" s="2" t="s">
        <v>96</v>
      </c>
      <c r="F138" s="6" t="b">
        <v>0</v>
      </c>
      <c r="G138" s="6" t="b">
        <v>1</v>
      </c>
      <c r="H138" s="2" t="s">
        <v>34</v>
      </c>
      <c r="I138" s="2" t="b">
        <v>0</v>
      </c>
      <c r="J138" s="2" t="s">
        <v>19</v>
      </c>
      <c r="K138" s="2" t="s">
        <v>56</v>
      </c>
      <c r="L138" s="2" t="b">
        <v>0</v>
      </c>
      <c r="M138" s="2"/>
      <c r="N138" s="2" t="s">
        <v>464</v>
      </c>
      <c r="O138" s="2" t="s">
        <v>295</v>
      </c>
      <c r="P138" s="13" t="s">
        <v>296</v>
      </c>
    </row>
    <row r="139" spans="1:16" ht="135.4">
      <c r="A139" s="3" t="s">
        <v>465</v>
      </c>
      <c r="B139" s="2" t="str">
        <f>TRIM(Table1[[#This Row],[Chat Name]])</f>
        <v>Chaos Bolt</v>
      </c>
      <c r="C139" s="2">
        <v>1</v>
      </c>
      <c r="D139" s="2">
        <v>3</v>
      </c>
      <c r="E139" s="2" t="s">
        <v>96</v>
      </c>
      <c r="F139" s="6" t="b">
        <v>0</v>
      </c>
      <c r="G139" s="6" t="b">
        <v>1</v>
      </c>
      <c r="H139" s="2" t="s">
        <v>34</v>
      </c>
      <c r="I139" s="2" t="b">
        <v>0</v>
      </c>
      <c r="J139" s="2" t="s">
        <v>19</v>
      </c>
      <c r="K139" s="2" t="s">
        <v>160</v>
      </c>
      <c r="L139" s="2" t="b">
        <v>0</v>
      </c>
      <c r="M139" s="2" t="s">
        <v>466</v>
      </c>
      <c r="N139" s="2" t="s">
        <v>467</v>
      </c>
      <c r="O139" s="2" t="s">
        <v>468</v>
      </c>
      <c r="P139" s="13" t="s">
        <v>468</v>
      </c>
    </row>
    <row r="140" spans="1:16" ht="86.45">
      <c r="A140" s="3" t="s">
        <v>469</v>
      </c>
      <c r="B140" s="2" t="str">
        <f>TRIM(Table1[[#This Row],[Chat Name]])</f>
        <v>Charm Monster</v>
      </c>
      <c r="C140" s="2">
        <v>5</v>
      </c>
      <c r="D140" s="2">
        <v>21</v>
      </c>
      <c r="E140" s="2" t="s">
        <v>244</v>
      </c>
      <c r="F140" s="6" t="b">
        <v>1</v>
      </c>
      <c r="G140" s="6" t="b">
        <v>0</v>
      </c>
      <c r="H140" s="2" t="s">
        <v>34</v>
      </c>
      <c r="I140" s="2" t="b">
        <v>0</v>
      </c>
      <c r="J140" s="2" t="s">
        <v>35</v>
      </c>
      <c r="K140" s="2" t="s">
        <v>52</v>
      </c>
      <c r="L140" s="2" t="b">
        <v>0</v>
      </c>
      <c r="M140" s="2" t="s">
        <v>470</v>
      </c>
      <c r="N140" s="2" t="s">
        <v>471</v>
      </c>
      <c r="O140" s="2" t="s">
        <v>472</v>
      </c>
      <c r="P140" s="13" t="s">
        <v>472</v>
      </c>
    </row>
    <row r="141" spans="1:16" ht="86.45">
      <c r="A141" s="3" t="s">
        <v>473</v>
      </c>
      <c r="B141" s="2" t="str">
        <f>TRIM(Table1[[#This Row],[Chat Name]])</f>
        <v>Charm Person</v>
      </c>
      <c r="C141" s="2">
        <v>1</v>
      </c>
      <c r="D141" s="2">
        <v>3</v>
      </c>
      <c r="E141" s="2" t="s">
        <v>73</v>
      </c>
      <c r="F141" s="6" t="b">
        <v>0</v>
      </c>
      <c r="G141" s="6" t="b">
        <v>1</v>
      </c>
      <c r="H141" s="2" t="s">
        <v>34</v>
      </c>
      <c r="I141" s="2" t="b">
        <v>0</v>
      </c>
      <c r="J141" s="2" t="s">
        <v>35</v>
      </c>
      <c r="K141" s="2" t="s">
        <v>52</v>
      </c>
      <c r="L141" s="2" t="b">
        <v>0</v>
      </c>
      <c r="M141" s="2" t="s">
        <v>474</v>
      </c>
      <c r="N141" s="2" t="s">
        <v>475</v>
      </c>
      <c r="O141" s="2" t="s">
        <v>455</v>
      </c>
      <c r="P141" s="13" t="s">
        <v>455</v>
      </c>
    </row>
    <row r="142" spans="1:16" ht="110.65">
      <c r="A142" s="3" t="s">
        <v>476</v>
      </c>
      <c r="B142" s="2" t="str">
        <f>TRIM(Table1[[#This Row],[Chat Name]])</f>
        <v>Chill Touch</v>
      </c>
      <c r="C142" s="2">
        <v>0</v>
      </c>
      <c r="D142" s="2">
        <v>0</v>
      </c>
      <c r="E142" s="2" t="s">
        <v>17</v>
      </c>
      <c r="F142" s="6" t="b">
        <v>0</v>
      </c>
      <c r="G142" s="6" t="b">
        <v>1</v>
      </c>
      <c r="H142" s="2" t="s">
        <v>34</v>
      </c>
      <c r="I142" s="2" t="b">
        <v>0</v>
      </c>
      <c r="J142" s="2" t="s">
        <v>144</v>
      </c>
      <c r="K142" s="2" t="s">
        <v>160</v>
      </c>
      <c r="L142" s="2" t="b">
        <v>0</v>
      </c>
      <c r="M142" s="2" t="s">
        <v>477</v>
      </c>
      <c r="N142" s="2" t="s">
        <v>478</v>
      </c>
      <c r="O142" s="2"/>
    </row>
    <row r="143" spans="1:16" ht="61.5">
      <c r="A143" s="3" t="s">
        <v>479</v>
      </c>
      <c r="B143" s="2" t="str">
        <f>TRIM(Table1[[#This Row],[Chat Name]])</f>
        <v>Chromatic Orb</v>
      </c>
      <c r="C143" s="2">
        <v>2</v>
      </c>
      <c r="D143" s="2">
        <v>6</v>
      </c>
      <c r="E143" s="2" t="s">
        <v>153</v>
      </c>
      <c r="F143" s="6" t="b">
        <v>1</v>
      </c>
      <c r="G143" s="6" t="b">
        <v>0</v>
      </c>
      <c r="H143" s="2" t="s">
        <v>34</v>
      </c>
      <c r="I143" s="2" t="b">
        <v>0</v>
      </c>
      <c r="J143" s="2" t="s">
        <v>19</v>
      </c>
      <c r="K143" s="2" t="s">
        <v>64</v>
      </c>
      <c r="L143" s="2" t="b">
        <v>0</v>
      </c>
      <c r="M143" s="2" t="s">
        <v>480</v>
      </c>
      <c r="N143" s="2" t="s">
        <v>481</v>
      </c>
      <c r="O143" s="2" t="s">
        <v>482</v>
      </c>
      <c r="P143" s="13" t="s">
        <v>482</v>
      </c>
    </row>
    <row r="144" spans="1:16" ht="61.5">
      <c r="A144" s="3" t="s">
        <v>483</v>
      </c>
      <c r="B144" s="2" t="str">
        <f>TRIM(Table1[[#This Row],[Chat Name]])</f>
        <v>Circle of Death</v>
      </c>
      <c r="C144" s="2">
        <v>9</v>
      </c>
      <c r="D144" s="2">
        <v>54</v>
      </c>
      <c r="E144" s="2" t="s">
        <v>17</v>
      </c>
      <c r="F144" s="6" t="b">
        <v>0</v>
      </c>
      <c r="G144" s="6" t="b">
        <v>1</v>
      </c>
      <c r="H144" s="2" t="s">
        <v>34</v>
      </c>
      <c r="I144" s="2" t="b">
        <v>0</v>
      </c>
      <c r="J144" s="2" t="s">
        <v>19</v>
      </c>
      <c r="K144" s="2" t="s">
        <v>460</v>
      </c>
      <c r="L144" s="2" t="b">
        <v>0</v>
      </c>
      <c r="M144" s="2" t="s">
        <v>484</v>
      </c>
      <c r="N144" s="2" t="s">
        <v>484</v>
      </c>
      <c r="O144" s="2" t="s">
        <v>485</v>
      </c>
      <c r="P144" s="13" t="s">
        <v>485</v>
      </c>
    </row>
    <row r="145" spans="1:16" ht="110.65">
      <c r="A145" s="3" t="s">
        <v>486</v>
      </c>
      <c r="B145" s="2" t="str">
        <f>TRIM(Table1[[#This Row],[Chat Name]])</f>
        <v>Circle of Power</v>
      </c>
      <c r="C145" s="2">
        <v>6</v>
      </c>
      <c r="D145" s="2">
        <v>27</v>
      </c>
      <c r="E145" s="2" t="s">
        <v>23</v>
      </c>
      <c r="F145" s="6" t="b">
        <v>1</v>
      </c>
      <c r="G145" s="6" t="b">
        <v>0</v>
      </c>
      <c r="H145" s="2" t="s">
        <v>34</v>
      </c>
      <c r="I145" s="2" t="b">
        <v>1</v>
      </c>
      <c r="J145" s="2" t="s">
        <v>301</v>
      </c>
      <c r="K145" s="2" t="s">
        <v>327</v>
      </c>
      <c r="L145" s="2" t="b">
        <v>0</v>
      </c>
      <c r="M145" s="2" t="s">
        <v>487</v>
      </c>
      <c r="N145" s="2" t="s">
        <v>488</v>
      </c>
      <c r="O145" s="2"/>
    </row>
    <row r="146" spans="1:16" ht="61.5">
      <c r="A146" s="3" t="s">
        <v>489</v>
      </c>
      <c r="B146" s="2" t="str">
        <f>TRIM(Table1[[#This Row],[Chat Name]])</f>
        <v>Circle of Seclusion</v>
      </c>
      <c r="C146" s="2">
        <v>2</v>
      </c>
      <c r="D146" s="2">
        <v>6</v>
      </c>
      <c r="E146" s="2" t="s">
        <v>23</v>
      </c>
      <c r="F146" s="7" t="b">
        <v>1</v>
      </c>
      <c r="G146" s="7" t="b">
        <v>0</v>
      </c>
      <c r="H146" s="2" t="s">
        <v>39</v>
      </c>
      <c r="I146" s="2" t="b">
        <v>0</v>
      </c>
      <c r="J146" s="2" t="s">
        <v>40</v>
      </c>
      <c r="K146" s="2" t="s">
        <v>490</v>
      </c>
      <c r="L146" s="2" t="b">
        <v>1</v>
      </c>
      <c r="M146" s="2"/>
      <c r="N146" s="2" t="s">
        <v>491</v>
      </c>
      <c r="O146" s="2"/>
    </row>
    <row r="147" spans="1:16" ht="159.94999999999999">
      <c r="A147" s="3" t="s">
        <v>492</v>
      </c>
      <c r="B147" s="2" t="str">
        <f>TRIM(Table1[[#This Row],[Chat Name]])</f>
        <v>Clone</v>
      </c>
      <c r="C147" s="2">
        <v>11</v>
      </c>
      <c r="D147" s="2">
        <v>78</v>
      </c>
      <c r="E147" s="2" t="s">
        <v>30</v>
      </c>
      <c r="F147" s="6" t="b">
        <v>0</v>
      </c>
      <c r="G147" s="6" t="b">
        <v>1</v>
      </c>
      <c r="H147" s="2" t="s">
        <v>35</v>
      </c>
      <c r="I147" s="2" t="b">
        <v>0</v>
      </c>
      <c r="J147" s="2" t="s">
        <v>19</v>
      </c>
      <c r="K147" s="2" t="s">
        <v>110</v>
      </c>
      <c r="L147" s="2" t="b">
        <v>0</v>
      </c>
      <c r="M147" s="2" t="s">
        <v>493</v>
      </c>
      <c r="N147" s="2" t="s">
        <v>494</v>
      </c>
      <c r="O147" s="2"/>
    </row>
    <row r="148" spans="1:16" ht="159.94999999999999">
      <c r="A148" s="3" t="s">
        <v>495</v>
      </c>
      <c r="B148" s="2" t="str">
        <f>TRIM(Table1[[#This Row],[Chat Name]])</f>
        <v>Cloudkill</v>
      </c>
      <c r="C148" s="2">
        <v>6</v>
      </c>
      <c r="D148" s="2">
        <v>27</v>
      </c>
      <c r="E148" s="2" t="s">
        <v>96</v>
      </c>
      <c r="F148" s="6" t="b">
        <v>0</v>
      </c>
      <c r="G148" s="6" t="b">
        <v>1</v>
      </c>
      <c r="H148" s="2" t="s">
        <v>34</v>
      </c>
      <c r="I148" s="2" t="b">
        <v>1</v>
      </c>
      <c r="J148" s="2" t="s">
        <v>301</v>
      </c>
      <c r="K148" s="2" t="s">
        <v>160</v>
      </c>
      <c r="L148" s="2" t="b">
        <v>0</v>
      </c>
      <c r="M148" s="2" t="s">
        <v>496</v>
      </c>
      <c r="N148" s="2" t="s">
        <v>497</v>
      </c>
      <c r="O148" s="2" t="s">
        <v>498</v>
      </c>
      <c r="P148" s="13" t="s">
        <v>498</v>
      </c>
    </row>
    <row r="149" spans="1:16" ht="135.4">
      <c r="A149" s="3" t="s">
        <v>499</v>
      </c>
      <c r="B149" s="2" t="str">
        <f>TRIM(Table1[[#This Row],[Chat Name]])</f>
        <v>Color Spray</v>
      </c>
      <c r="C149" s="2">
        <v>1</v>
      </c>
      <c r="D149" s="2">
        <v>3</v>
      </c>
      <c r="E149" s="2" t="s">
        <v>30</v>
      </c>
      <c r="F149" s="6" t="b">
        <v>0</v>
      </c>
      <c r="G149" s="6" t="b">
        <v>1</v>
      </c>
      <c r="H149" s="2" t="s">
        <v>34</v>
      </c>
      <c r="I149" s="2" t="b">
        <v>0</v>
      </c>
      <c r="J149" s="2" t="s">
        <v>144</v>
      </c>
      <c r="K149" s="2" t="s">
        <v>432</v>
      </c>
      <c r="L149" s="2" t="b">
        <v>0</v>
      </c>
      <c r="M149" s="2" t="s">
        <v>500</v>
      </c>
      <c r="N149" s="2" t="s">
        <v>501</v>
      </c>
      <c r="O149" s="2" t="s">
        <v>502</v>
      </c>
      <c r="P149" s="13" t="s">
        <v>502</v>
      </c>
    </row>
    <row r="150" spans="1:16" ht="24.6">
      <c r="B150" s="2" t="str">
        <f>TRIM(Table1[[#This Row],[Chat Name]])</f>
        <v/>
      </c>
      <c r="C150" s="2">
        <v>0</v>
      </c>
      <c r="D150" s="2">
        <v>0</v>
      </c>
      <c r="E150" s="2" t="s">
        <v>30</v>
      </c>
      <c r="F150" s="6" t="b">
        <v>0</v>
      </c>
      <c r="G150" s="6" t="b">
        <v>1</v>
      </c>
      <c r="H150" s="2" t="s">
        <v>34</v>
      </c>
      <c r="I150" s="2" t="b">
        <v>0</v>
      </c>
      <c r="J150" s="2" t="s">
        <v>19</v>
      </c>
      <c r="K150" s="2" t="s">
        <v>110</v>
      </c>
      <c r="L150" s="2" t="b">
        <v>0</v>
      </c>
      <c r="N150" s="2" t="s">
        <v>503</v>
      </c>
    </row>
    <row r="151" spans="1:16" ht="86.1">
      <c r="A151" s="3"/>
      <c r="B151" s="2" t="str">
        <f>TRIM(Table1[[#This Row],[Chat Name]])</f>
        <v/>
      </c>
      <c r="C151" s="2">
        <v>4</v>
      </c>
      <c r="D151" s="2">
        <v>15</v>
      </c>
      <c r="E151" s="2" t="s">
        <v>153</v>
      </c>
      <c r="F151" s="6" t="b">
        <v>1</v>
      </c>
      <c r="G151" s="6" t="b">
        <v>0</v>
      </c>
      <c r="H151" s="2" t="s">
        <v>34</v>
      </c>
      <c r="I151" s="2" t="b">
        <v>0</v>
      </c>
      <c r="J151" s="2" t="s">
        <v>19</v>
      </c>
      <c r="K151" s="2" t="s">
        <v>56</v>
      </c>
      <c r="L151" s="2" t="b">
        <v>0</v>
      </c>
      <c r="M151" s="2"/>
      <c r="N151" s="2" t="s">
        <v>504</v>
      </c>
      <c r="O151" s="2" t="s">
        <v>505</v>
      </c>
      <c r="P151" s="13" t="s">
        <v>506</v>
      </c>
    </row>
    <row r="152" spans="1:16" ht="221.45">
      <c r="A152" s="3" t="s">
        <v>507</v>
      </c>
      <c r="B152" s="2" t="str">
        <f>TRIM(Table1[[#This Row],[Chat Name]])</f>
        <v>Command</v>
      </c>
      <c r="C152" s="2">
        <v>1</v>
      </c>
      <c r="D152" s="2">
        <v>3</v>
      </c>
      <c r="E152" s="2" t="s">
        <v>73</v>
      </c>
      <c r="F152" s="6" t="b">
        <v>0</v>
      </c>
      <c r="G152" s="6" t="b">
        <v>1</v>
      </c>
      <c r="H152" s="2" t="s">
        <v>34</v>
      </c>
      <c r="I152" s="2" t="b">
        <v>0</v>
      </c>
      <c r="J152" s="2" t="s">
        <v>144</v>
      </c>
      <c r="K152" s="2" t="s">
        <v>56</v>
      </c>
      <c r="L152" s="2" t="b">
        <v>0</v>
      </c>
      <c r="M152" s="2" t="s">
        <v>508</v>
      </c>
      <c r="N152" s="2" t="s">
        <v>509</v>
      </c>
      <c r="O152" s="2" t="s">
        <v>510</v>
      </c>
      <c r="P152" s="13" t="s">
        <v>510</v>
      </c>
    </row>
    <row r="153" spans="1:16" ht="147.6">
      <c r="A153" s="3" t="s">
        <v>511</v>
      </c>
      <c r="B153" s="2" t="str">
        <f>TRIM(Table1[[#This Row],[Chat Name]])</f>
        <v>Commune</v>
      </c>
      <c r="C153" s="2">
        <v>6</v>
      </c>
      <c r="D153" s="2">
        <v>27</v>
      </c>
      <c r="E153" s="2" t="s">
        <v>23</v>
      </c>
      <c r="F153" s="6" t="b">
        <v>1</v>
      </c>
      <c r="G153" s="6" t="b">
        <v>0</v>
      </c>
      <c r="H153" s="2" t="s">
        <v>39</v>
      </c>
      <c r="I153" s="2" t="b">
        <v>0</v>
      </c>
      <c r="J153" s="2" t="s">
        <v>39</v>
      </c>
      <c r="K153" s="2" t="s">
        <v>59</v>
      </c>
      <c r="L153" s="2" t="b">
        <v>1</v>
      </c>
      <c r="M153" s="2" t="s">
        <v>512</v>
      </c>
      <c r="N153" s="2" t="s">
        <v>513</v>
      </c>
      <c r="O153" s="2"/>
    </row>
    <row r="154" spans="1:16" ht="172.15">
      <c r="A154" s="3" t="s">
        <v>514</v>
      </c>
      <c r="B154" s="2" t="str">
        <f>TRIM(Table1[[#This Row],[Chat Name]])</f>
        <v>Commune with Nature</v>
      </c>
      <c r="C154" s="2">
        <v>6</v>
      </c>
      <c r="D154" s="2">
        <v>27</v>
      </c>
      <c r="E154" s="2" t="s">
        <v>244</v>
      </c>
      <c r="F154" s="6" t="b">
        <v>1</v>
      </c>
      <c r="G154" s="6" t="b">
        <v>0</v>
      </c>
      <c r="H154" s="2" t="s">
        <v>39</v>
      </c>
      <c r="I154" s="2" t="b">
        <v>0</v>
      </c>
      <c r="J154" s="2" t="s">
        <v>19</v>
      </c>
      <c r="K154" s="2" t="s">
        <v>59</v>
      </c>
      <c r="L154" s="2" t="b">
        <v>1</v>
      </c>
      <c r="M154" s="2" t="s">
        <v>515</v>
      </c>
      <c r="N154" s="2" t="s">
        <v>516</v>
      </c>
      <c r="O154" s="2"/>
    </row>
    <row r="155" spans="1:16" ht="115.15">
      <c r="A155" s="3"/>
      <c r="B155" s="2" t="str">
        <f>TRIM(Table1[[#This Row],[Chat Name]])</f>
        <v/>
      </c>
      <c r="C155" s="2">
        <v>0</v>
      </c>
      <c r="D155" s="2">
        <v>0</v>
      </c>
      <c r="E155" s="2" t="s">
        <v>73</v>
      </c>
      <c r="F155" s="6" t="b">
        <v>0</v>
      </c>
      <c r="G155" s="6" t="b">
        <v>1</v>
      </c>
      <c r="H155" s="2" t="s">
        <v>34</v>
      </c>
      <c r="I155" s="2" t="b">
        <v>1</v>
      </c>
      <c r="J155" s="2" t="s">
        <v>39</v>
      </c>
      <c r="K155" s="2" t="s">
        <v>110</v>
      </c>
      <c r="L155" s="2" t="b">
        <v>0</v>
      </c>
      <c r="M155" s="2"/>
      <c r="N155" s="2" t="s">
        <v>517</v>
      </c>
      <c r="O155" s="2" t="s">
        <v>518</v>
      </c>
      <c r="P155" s="13" t="s">
        <v>518</v>
      </c>
    </row>
    <row r="156" spans="1:16" ht="159.94999999999999">
      <c r="A156" s="3" t="s">
        <v>519</v>
      </c>
      <c r="B156" s="2" t="str">
        <f>TRIM(Table1[[#This Row],[Chat Name]])</f>
        <v>Compelled Duel</v>
      </c>
      <c r="C156" s="2">
        <v>1</v>
      </c>
      <c r="D156" s="2">
        <v>3</v>
      </c>
      <c r="E156" s="2" t="s">
        <v>73</v>
      </c>
      <c r="F156" s="6" t="b">
        <v>0</v>
      </c>
      <c r="G156" s="6" t="b">
        <v>1</v>
      </c>
      <c r="H156" s="2" t="s">
        <v>31</v>
      </c>
      <c r="I156" s="2" t="b">
        <v>1</v>
      </c>
      <c r="J156" s="2" t="s">
        <v>272</v>
      </c>
      <c r="K156" s="2" t="s">
        <v>52</v>
      </c>
      <c r="L156" s="2" t="b">
        <v>0</v>
      </c>
      <c r="M156" s="2" t="s">
        <v>520</v>
      </c>
      <c r="N156" s="2" t="s">
        <v>521</v>
      </c>
      <c r="O156" s="2"/>
    </row>
    <row r="157" spans="1:16" ht="86.1">
      <c r="A157" s="3" t="s">
        <v>522</v>
      </c>
      <c r="B157" s="2" t="str">
        <f>TRIM(Table1[[#This Row],[Chat Name]])</f>
        <v>Comprehend Languages</v>
      </c>
      <c r="C157" s="2">
        <v>1</v>
      </c>
      <c r="D157" s="2">
        <v>3</v>
      </c>
      <c r="E157" s="2" t="s">
        <v>80</v>
      </c>
      <c r="F157" s="6" t="b">
        <v>1</v>
      </c>
      <c r="G157" s="6" t="b">
        <v>0</v>
      </c>
      <c r="H157" s="2" t="s">
        <v>34</v>
      </c>
      <c r="I157" s="2" t="b">
        <v>0</v>
      </c>
      <c r="J157" s="2" t="s">
        <v>35</v>
      </c>
      <c r="K157" s="2" t="s">
        <v>59</v>
      </c>
      <c r="L157" s="2" t="b">
        <v>1</v>
      </c>
      <c r="M157" s="2" t="s">
        <v>523</v>
      </c>
      <c r="N157" s="2" t="s">
        <v>524</v>
      </c>
      <c r="O157" s="2"/>
    </row>
    <row r="158" spans="1:16" ht="159.94999999999999">
      <c r="A158" s="3" t="s">
        <v>525</v>
      </c>
      <c r="B158" s="2" t="str">
        <f>TRIM(Table1[[#This Row],[Chat Name]])</f>
        <v>Compulsion</v>
      </c>
      <c r="C158" s="2">
        <v>5</v>
      </c>
      <c r="D158" s="2">
        <v>21</v>
      </c>
      <c r="E158" s="2" t="s">
        <v>73</v>
      </c>
      <c r="F158" s="6" t="b">
        <v>0</v>
      </c>
      <c r="G158" s="6" t="b">
        <v>1</v>
      </c>
      <c r="H158" s="2" t="s">
        <v>34</v>
      </c>
      <c r="I158" s="2" t="b">
        <v>1</v>
      </c>
      <c r="J158" s="2" t="s">
        <v>272</v>
      </c>
      <c r="K158" s="2" t="s">
        <v>52</v>
      </c>
      <c r="L158" s="2" t="b">
        <v>0</v>
      </c>
      <c r="M158" s="2" t="s">
        <v>526</v>
      </c>
      <c r="N158" s="2" t="s">
        <v>527</v>
      </c>
      <c r="O158" s="2"/>
    </row>
    <row r="159" spans="1:16" ht="61.5">
      <c r="A159" s="3" t="s">
        <v>528</v>
      </c>
      <c r="B159" s="2" t="str">
        <f>TRIM(Table1[[#This Row],[Chat Name]])</f>
        <v>Cone of Cold</v>
      </c>
      <c r="C159" s="2">
        <v>7</v>
      </c>
      <c r="D159" s="2">
        <v>36</v>
      </c>
      <c r="E159" s="2" t="s">
        <v>153</v>
      </c>
      <c r="F159" s="6" t="b">
        <v>1</v>
      </c>
      <c r="G159" s="6" t="b">
        <v>0</v>
      </c>
      <c r="H159" s="2" t="s">
        <v>34</v>
      </c>
      <c r="I159" s="2" t="b">
        <v>0</v>
      </c>
      <c r="J159" s="2" t="s">
        <v>19</v>
      </c>
      <c r="K159" s="2" t="s">
        <v>529</v>
      </c>
      <c r="L159" s="2" t="b">
        <v>0</v>
      </c>
      <c r="M159" s="2" t="s">
        <v>530</v>
      </c>
      <c r="N159" s="2" t="s">
        <v>531</v>
      </c>
      <c r="O159" s="2" t="s">
        <v>498</v>
      </c>
      <c r="P159" s="13" t="s">
        <v>498</v>
      </c>
    </row>
    <row r="160" spans="1:16" ht="110.65">
      <c r="A160" s="3" t="s">
        <v>532</v>
      </c>
      <c r="B160" s="2" t="str">
        <f>TRIM(Table1[[#This Row],[Chat Name]])</f>
        <v>Confusion</v>
      </c>
      <c r="C160" s="2">
        <v>5</v>
      </c>
      <c r="D160" s="2">
        <v>21</v>
      </c>
      <c r="E160" s="2" t="s">
        <v>73</v>
      </c>
      <c r="F160" s="6" t="b">
        <v>0</v>
      </c>
      <c r="G160" s="6" t="b">
        <v>1</v>
      </c>
      <c r="H160" s="2" t="s">
        <v>34</v>
      </c>
      <c r="I160" s="2" t="b">
        <v>1</v>
      </c>
      <c r="J160" s="2" t="s">
        <v>272</v>
      </c>
      <c r="K160" s="2" t="s">
        <v>64</v>
      </c>
      <c r="L160" s="2" t="b">
        <v>0</v>
      </c>
      <c r="M160" s="2" t="s">
        <v>533</v>
      </c>
      <c r="N160" s="2" t="s">
        <v>534</v>
      </c>
      <c r="O160" s="2" t="s">
        <v>535</v>
      </c>
      <c r="P160" s="13" t="s">
        <v>535</v>
      </c>
    </row>
    <row r="161" spans="1:16" ht="172.15">
      <c r="A161" s="3" t="s">
        <v>536</v>
      </c>
      <c r="B161" s="2" t="str">
        <f>TRIM(Table1[[#This Row],[Chat Name]])</f>
        <v>Conjure Animals</v>
      </c>
      <c r="C161" s="2">
        <v>4</v>
      </c>
      <c r="D161" s="2">
        <v>15</v>
      </c>
      <c r="E161" s="2" t="s">
        <v>244</v>
      </c>
      <c r="F161" s="6" t="b">
        <v>1</v>
      </c>
      <c r="G161" s="6" t="b">
        <v>0</v>
      </c>
      <c r="H161" s="2" t="s">
        <v>34</v>
      </c>
      <c r="I161" s="2" t="b">
        <v>1</v>
      </c>
      <c r="J161" s="2" t="s">
        <v>245</v>
      </c>
      <c r="K161" s="2" t="s">
        <v>56</v>
      </c>
      <c r="L161" s="2" t="b">
        <v>0</v>
      </c>
      <c r="M161" s="2" t="s">
        <v>537</v>
      </c>
      <c r="N161" s="2" t="s">
        <v>538</v>
      </c>
      <c r="O161" s="2" t="s">
        <v>539</v>
      </c>
      <c r="P161" s="13" t="s">
        <v>539</v>
      </c>
    </row>
    <row r="162" spans="1:16" ht="86.1">
      <c r="A162" s="3" t="s">
        <v>540</v>
      </c>
      <c r="B162" s="2" t="str">
        <f>TRIM(Table1[[#This Row],[Chat Name]])</f>
        <v>Conjure Barrage</v>
      </c>
      <c r="C162" s="2">
        <v>3</v>
      </c>
      <c r="D162" s="2">
        <v>9</v>
      </c>
      <c r="E162" s="2" t="s">
        <v>96</v>
      </c>
      <c r="F162" s="6" t="b">
        <v>0</v>
      </c>
      <c r="G162" s="6" t="b">
        <v>1</v>
      </c>
      <c r="H162" s="2" t="s">
        <v>34</v>
      </c>
      <c r="I162" s="2" t="b">
        <v>0</v>
      </c>
      <c r="J162" s="2" t="s">
        <v>19</v>
      </c>
      <c r="K162" s="2" t="s">
        <v>529</v>
      </c>
      <c r="L162" s="2" t="b">
        <v>0</v>
      </c>
      <c r="M162" s="2" t="s">
        <v>541</v>
      </c>
      <c r="N162" s="2" t="s">
        <v>542</v>
      </c>
      <c r="O162" s="2"/>
    </row>
    <row r="163" spans="1:16" ht="123">
      <c r="A163" s="3" t="s">
        <v>543</v>
      </c>
      <c r="B163" s="2" t="str">
        <f>TRIM(Table1[[#This Row],[Chat Name]])</f>
        <v>Conjure Celestial</v>
      </c>
      <c r="C163" s="2">
        <v>9</v>
      </c>
      <c r="D163" s="2">
        <v>54</v>
      </c>
      <c r="E163" s="2" t="s">
        <v>23</v>
      </c>
      <c r="F163" s="6" t="b">
        <v>1</v>
      </c>
      <c r="G163" s="6" t="b">
        <v>0</v>
      </c>
      <c r="H163" s="2" t="s">
        <v>39</v>
      </c>
      <c r="I163" s="2" t="b">
        <v>1</v>
      </c>
      <c r="J163" s="2" t="s">
        <v>245</v>
      </c>
      <c r="K163" s="2" t="s">
        <v>64</v>
      </c>
      <c r="L163" s="2" t="b">
        <v>0</v>
      </c>
      <c r="M163" s="2" t="s">
        <v>544</v>
      </c>
      <c r="N163" s="2" t="s">
        <v>545</v>
      </c>
      <c r="O163" s="2" t="s">
        <v>546</v>
      </c>
      <c r="P163" s="13" t="s">
        <v>546</v>
      </c>
    </row>
    <row r="164" spans="1:16" ht="196.9">
      <c r="A164" s="3" t="s">
        <v>547</v>
      </c>
      <c r="B164" s="2" t="str">
        <f>TRIM(Table1[[#This Row],[Chat Name]])</f>
        <v>Conjure Fey</v>
      </c>
      <c r="C164" s="2">
        <v>8</v>
      </c>
      <c r="D164" s="2">
        <v>45</v>
      </c>
      <c r="E164" s="2" t="s">
        <v>244</v>
      </c>
      <c r="F164" s="6" t="b">
        <v>1</v>
      </c>
      <c r="G164" s="6" t="b">
        <v>0</v>
      </c>
      <c r="H164" s="2" t="s">
        <v>39</v>
      </c>
      <c r="I164" s="2" t="b">
        <v>1</v>
      </c>
      <c r="J164" s="2" t="s">
        <v>245</v>
      </c>
      <c r="K164" s="2" t="s">
        <v>64</v>
      </c>
      <c r="L164" s="2" t="b">
        <v>0</v>
      </c>
      <c r="M164" s="2" t="s">
        <v>548</v>
      </c>
      <c r="N164" s="2" t="s">
        <v>549</v>
      </c>
      <c r="O164" s="2" t="s">
        <v>550</v>
      </c>
      <c r="P164" s="13" t="s">
        <v>550</v>
      </c>
    </row>
    <row r="165" spans="1:16" ht="221.45">
      <c r="A165" s="3" t="s">
        <v>551</v>
      </c>
      <c r="B165" s="2" t="str">
        <f>TRIM(Table1[[#This Row],[Chat Name]])</f>
        <v>Conjure Elemental</v>
      </c>
      <c r="C165" s="2">
        <v>6</v>
      </c>
      <c r="D165" s="2">
        <v>27</v>
      </c>
      <c r="E165" s="2" t="s">
        <v>153</v>
      </c>
      <c r="F165" s="6" t="b">
        <v>1</v>
      </c>
      <c r="G165" s="6" t="b">
        <v>0</v>
      </c>
      <c r="H165" s="2" t="s">
        <v>39</v>
      </c>
      <c r="I165" s="2" t="b">
        <v>1</v>
      </c>
      <c r="J165" s="2" t="s">
        <v>245</v>
      </c>
      <c r="K165" s="2" t="s">
        <v>64</v>
      </c>
      <c r="L165" s="2" t="b">
        <v>0</v>
      </c>
      <c r="M165" s="2" t="s">
        <v>552</v>
      </c>
      <c r="N165" s="2" t="s">
        <v>553</v>
      </c>
      <c r="O165" s="2" t="s">
        <v>554</v>
      </c>
      <c r="P165" s="13" t="s">
        <v>554</v>
      </c>
    </row>
    <row r="166" spans="1:16" ht="172.15">
      <c r="A166" s="3" t="s">
        <v>555</v>
      </c>
      <c r="B166" s="2" t="str">
        <f>TRIM(Table1[[#This Row],[Chat Name]])</f>
        <v>Conjure Minor Elementals</v>
      </c>
      <c r="C166" s="2">
        <v>5</v>
      </c>
      <c r="D166" s="2">
        <v>21</v>
      </c>
      <c r="E166" s="2" t="s">
        <v>153</v>
      </c>
      <c r="F166" s="6" t="b">
        <v>1</v>
      </c>
      <c r="G166" s="6" t="b">
        <v>0</v>
      </c>
      <c r="H166" s="2" t="s">
        <v>39</v>
      </c>
      <c r="I166" s="2" t="b">
        <v>1</v>
      </c>
      <c r="J166" s="2" t="s">
        <v>245</v>
      </c>
      <c r="K166" s="2" t="s">
        <v>64</v>
      </c>
      <c r="L166" s="2" t="b">
        <v>0</v>
      </c>
      <c r="M166" s="2" t="s">
        <v>556</v>
      </c>
      <c r="N166" s="2" t="s">
        <v>557</v>
      </c>
      <c r="O166" s="2" t="s">
        <v>558</v>
      </c>
      <c r="P166" s="13" t="s">
        <v>558</v>
      </c>
    </row>
    <row r="167" spans="1:16" ht="110.65">
      <c r="A167" s="3" t="s">
        <v>559</v>
      </c>
      <c r="B167" s="2" t="str">
        <f>TRIM(Table1[[#This Row],[Chat Name]])</f>
        <v>Conjure Volley</v>
      </c>
      <c r="C167" s="2">
        <v>6</v>
      </c>
      <c r="D167" s="2">
        <v>27</v>
      </c>
      <c r="E167" s="2" t="s">
        <v>96</v>
      </c>
      <c r="F167" s="6" t="b">
        <v>0</v>
      </c>
      <c r="G167" s="6" t="b">
        <v>1</v>
      </c>
      <c r="H167" s="2" t="s">
        <v>34</v>
      </c>
      <c r="I167" s="2" t="b">
        <v>0</v>
      </c>
      <c r="J167" s="2" t="s">
        <v>19</v>
      </c>
      <c r="K167" s="2" t="s">
        <v>460</v>
      </c>
      <c r="L167" s="2" t="b">
        <v>0</v>
      </c>
      <c r="M167" s="2" t="s">
        <v>560</v>
      </c>
      <c r="N167" s="2" t="s">
        <v>561</v>
      </c>
      <c r="O167" s="2"/>
    </row>
    <row r="168" spans="1:16" ht="172.15">
      <c r="A168" s="3" t="s">
        <v>562</v>
      </c>
      <c r="B168" s="2" t="str">
        <f>TRIM(Table1[[#This Row],[Chat Name]])</f>
        <v>Conjure Woodland Beings</v>
      </c>
      <c r="C168" s="2">
        <v>5</v>
      </c>
      <c r="D168" s="2">
        <v>21</v>
      </c>
      <c r="E168" s="2" t="s">
        <v>244</v>
      </c>
      <c r="F168" s="6" t="b">
        <v>1</v>
      </c>
      <c r="G168" s="6" t="b">
        <v>0</v>
      </c>
      <c r="H168" s="2" t="s">
        <v>34</v>
      </c>
      <c r="I168" s="2" t="b">
        <v>1</v>
      </c>
      <c r="J168" s="2" t="s">
        <v>245</v>
      </c>
      <c r="K168" s="2" t="s">
        <v>56</v>
      </c>
      <c r="L168" s="2" t="b">
        <v>0</v>
      </c>
      <c r="M168" s="2" t="s">
        <v>563</v>
      </c>
      <c r="N168" s="2" t="s">
        <v>564</v>
      </c>
      <c r="O168" s="2" t="s">
        <v>558</v>
      </c>
      <c r="P168" s="13" t="s">
        <v>558</v>
      </c>
    </row>
    <row r="169" spans="1:16" ht="184.5">
      <c r="A169" s="3" t="s">
        <v>565</v>
      </c>
      <c r="B169" s="2" t="str">
        <f>TRIM(Table1[[#This Row],[Chat Name]])</f>
        <v>Contact Other Plane</v>
      </c>
      <c r="C169" s="2">
        <v>6</v>
      </c>
      <c r="D169" s="2">
        <v>27</v>
      </c>
      <c r="E169" s="2" t="s">
        <v>73</v>
      </c>
      <c r="F169" s="6" t="b">
        <v>0</v>
      </c>
      <c r="G169" s="6" t="b">
        <v>1</v>
      </c>
      <c r="H169" s="2" t="s">
        <v>39</v>
      </c>
      <c r="I169" s="2" t="b">
        <v>0</v>
      </c>
      <c r="J169" s="2" t="s">
        <v>39</v>
      </c>
      <c r="K169" s="2" t="s">
        <v>59</v>
      </c>
      <c r="L169" s="2" t="b">
        <v>1</v>
      </c>
      <c r="M169" s="2" t="s">
        <v>566</v>
      </c>
      <c r="N169" s="2" t="s">
        <v>567</v>
      </c>
      <c r="O169" s="2"/>
    </row>
    <row r="170" spans="1:16" ht="356.65">
      <c r="A170" s="3" t="s">
        <v>568</v>
      </c>
      <c r="B170" s="2" t="str">
        <f>TRIM(Table1[[#This Row],[Chat Name]])</f>
        <v>Contagion</v>
      </c>
      <c r="C170" s="2">
        <v>6</v>
      </c>
      <c r="D170" s="2">
        <v>27</v>
      </c>
      <c r="E170" s="2" t="s">
        <v>96</v>
      </c>
      <c r="F170" s="6" t="b">
        <v>0</v>
      </c>
      <c r="G170" s="6" t="b">
        <v>1</v>
      </c>
      <c r="H170" s="2" t="s">
        <v>34</v>
      </c>
      <c r="I170" s="2" t="b">
        <v>0</v>
      </c>
      <c r="J170" s="2" t="s">
        <v>569</v>
      </c>
      <c r="K170" s="2" t="s">
        <v>110</v>
      </c>
      <c r="L170" s="2" t="b">
        <v>0</v>
      </c>
      <c r="M170" s="2" t="s">
        <v>570</v>
      </c>
      <c r="N170" s="2" t="s">
        <v>571</v>
      </c>
      <c r="O170" s="2"/>
    </row>
    <row r="171" spans="1:16" ht="209.1">
      <c r="A171" s="3" t="s">
        <v>572</v>
      </c>
      <c r="B171" s="2" t="str">
        <f>TRIM(Table1[[#This Row],[Chat Name]])</f>
        <v>Contigency</v>
      </c>
      <c r="C171" s="2">
        <v>9</v>
      </c>
      <c r="D171" s="2">
        <v>54</v>
      </c>
      <c r="E171" s="2" t="s">
        <v>30</v>
      </c>
      <c r="F171" s="6" t="b">
        <v>0</v>
      </c>
      <c r="G171" s="6" t="b">
        <v>1</v>
      </c>
      <c r="H171" s="2" t="s">
        <v>18</v>
      </c>
      <c r="I171" s="2" t="b">
        <v>0</v>
      </c>
      <c r="J171" s="2" t="s">
        <v>288</v>
      </c>
      <c r="K171" s="2" t="s">
        <v>59</v>
      </c>
      <c r="L171" s="2" t="b">
        <v>0</v>
      </c>
      <c r="M171" s="2" t="s">
        <v>573</v>
      </c>
      <c r="N171" s="2" t="s">
        <v>574</v>
      </c>
      <c r="O171" s="2"/>
    </row>
    <row r="172" spans="1:16" ht="49.15">
      <c r="A172" s="3" t="s">
        <v>575</v>
      </c>
      <c r="B172" s="2" t="str">
        <f>TRIM(Table1[[#This Row],[Chat Name]])</f>
        <v>Continual Flame</v>
      </c>
      <c r="C172" s="2">
        <v>3</v>
      </c>
      <c r="D172" s="2">
        <v>9</v>
      </c>
      <c r="E172" s="2" t="s">
        <v>153</v>
      </c>
      <c r="F172" s="6" t="b">
        <v>1</v>
      </c>
      <c r="G172" s="6" t="b">
        <v>0</v>
      </c>
      <c r="H172" s="2" t="s">
        <v>34</v>
      </c>
      <c r="I172" s="2" t="b">
        <v>0</v>
      </c>
      <c r="J172" s="2" t="s">
        <v>307</v>
      </c>
      <c r="K172" s="2" t="s">
        <v>110</v>
      </c>
      <c r="L172" s="2" t="b">
        <v>0</v>
      </c>
      <c r="M172" s="2" t="s">
        <v>576</v>
      </c>
      <c r="N172" s="2" t="s">
        <v>576</v>
      </c>
      <c r="O172" s="2"/>
    </row>
    <row r="173" spans="1:16" ht="123">
      <c r="A173" s="3"/>
      <c r="B173" s="2" t="str">
        <f>TRIM(Table1[[#This Row],[Chat Name]])</f>
        <v/>
      </c>
      <c r="C173" s="2">
        <v>2</v>
      </c>
      <c r="D173" s="2">
        <v>6</v>
      </c>
      <c r="E173" s="2" t="s">
        <v>96</v>
      </c>
      <c r="F173" s="6" t="b">
        <v>0</v>
      </c>
      <c r="G173" s="6" t="b">
        <v>1</v>
      </c>
      <c r="H173" s="2" t="s">
        <v>34</v>
      </c>
      <c r="I173" s="2" t="b">
        <v>1</v>
      </c>
      <c r="J173" s="2" t="s">
        <v>39</v>
      </c>
      <c r="K173" s="2" t="s">
        <v>56</v>
      </c>
      <c r="L173" s="2" t="b">
        <v>0</v>
      </c>
      <c r="M173" s="2"/>
      <c r="N173" s="2" t="s">
        <v>577</v>
      </c>
      <c r="O173" s="2" t="s">
        <v>578</v>
      </c>
      <c r="P173" s="13" t="s">
        <v>579</v>
      </c>
    </row>
    <row r="174" spans="1:16" ht="159.94999999999999">
      <c r="A174" s="3" t="s">
        <v>580</v>
      </c>
      <c r="B174" s="2" t="str">
        <f>TRIM(Table1[[#This Row],[Chat Name]])</f>
        <v>Control Flames</v>
      </c>
      <c r="C174" s="2">
        <v>0</v>
      </c>
      <c r="D174" s="2">
        <v>0</v>
      </c>
      <c r="E174" s="2" t="s">
        <v>153</v>
      </c>
      <c r="F174" s="6" t="b">
        <v>1</v>
      </c>
      <c r="G174" s="6" t="b">
        <v>0</v>
      </c>
      <c r="H174" s="2" t="s">
        <v>34</v>
      </c>
      <c r="I174" s="2" t="b">
        <v>0</v>
      </c>
      <c r="J174" s="2" t="s">
        <v>581</v>
      </c>
      <c r="K174" s="2" t="s">
        <v>56</v>
      </c>
      <c r="L174" s="2" t="b">
        <v>0</v>
      </c>
      <c r="M174" s="2" t="s">
        <v>582</v>
      </c>
      <c r="N174" s="2" t="s">
        <v>583</v>
      </c>
      <c r="O174" s="2"/>
    </row>
    <row r="175" spans="1:16" ht="409.5">
      <c r="A175" s="3" t="s">
        <v>584</v>
      </c>
      <c r="B175" s="2" t="str">
        <f>TRIM(Table1[[#This Row],[Chat Name]])</f>
        <v>Control Water</v>
      </c>
      <c r="C175" s="2">
        <v>5</v>
      </c>
      <c r="D175" s="2">
        <v>21</v>
      </c>
      <c r="E175" s="2" t="s">
        <v>153</v>
      </c>
      <c r="F175" s="6" t="b">
        <v>1</v>
      </c>
      <c r="G175" s="6" t="b">
        <v>0</v>
      </c>
      <c r="H175" s="2" t="s">
        <v>34</v>
      </c>
      <c r="I175" s="2" t="b">
        <v>1</v>
      </c>
      <c r="J175" s="2" t="s">
        <v>301</v>
      </c>
      <c r="K175" s="2" t="s">
        <v>102</v>
      </c>
      <c r="L175" s="2" t="b">
        <v>0</v>
      </c>
      <c r="M175" s="2" t="s">
        <v>585</v>
      </c>
      <c r="N175" s="2" t="s">
        <v>586</v>
      </c>
      <c r="O175" s="2"/>
    </row>
    <row r="176" spans="1:16" ht="159.94999999999999">
      <c r="A176" s="3" t="s">
        <v>587</v>
      </c>
      <c r="B176" s="2" t="str">
        <f>TRIM(Table1[[#This Row],[Chat Name]])</f>
        <v>Control Weather</v>
      </c>
      <c r="C176" s="2">
        <v>10</v>
      </c>
      <c r="D176" s="2">
        <v>66</v>
      </c>
      <c r="E176" s="2" t="s">
        <v>244</v>
      </c>
      <c r="F176" s="6" t="b">
        <v>1</v>
      </c>
      <c r="G176" s="6" t="b">
        <v>0</v>
      </c>
      <c r="H176" s="2" t="s">
        <v>18</v>
      </c>
      <c r="I176" s="2" t="b">
        <v>1</v>
      </c>
      <c r="J176" s="2" t="s">
        <v>588</v>
      </c>
      <c r="K176" s="2" t="s">
        <v>41</v>
      </c>
      <c r="L176" s="2" t="b">
        <v>0</v>
      </c>
      <c r="M176" s="2" t="s">
        <v>589</v>
      </c>
      <c r="N176" s="2" t="s">
        <v>590</v>
      </c>
      <c r="O176" s="2"/>
    </row>
    <row r="177" spans="1:16" ht="295.14999999999998">
      <c r="A177" s="3" t="s">
        <v>591</v>
      </c>
      <c r="B177" s="2" t="str">
        <f>TRIM(Table1[[#This Row],[Chat Name]])</f>
        <v>Control Winds</v>
      </c>
      <c r="C177" s="2">
        <v>6</v>
      </c>
      <c r="D177" s="2">
        <v>27</v>
      </c>
      <c r="E177" s="2" t="s">
        <v>153</v>
      </c>
      <c r="F177" s="6" t="b">
        <v>1</v>
      </c>
      <c r="G177" s="6" t="b">
        <v>0</v>
      </c>
      <c r="H177" s="2" t="s">
        <v>34</v>
      </c>
      <c r="I177" s="2" t="b">
        <v>1</v>
      </c>
      <c r="J177" s="2" t="s">
        <v>245</v>
      </c>
      <c r="K177" s="2" t="s">
        <v>102</v>
      </c>
      <c r="L177" s="2" t="b">
        <v>0</v>
      </c>
      <c r="M177" s="2" t="s">
        <v>592</v>
      </c>
      <c r="N177" s="2" t="s">
        <v>593</v>
      </c>
      <c r="O177" s="2"/>
    </row>
    <row r="178" spans="1:16" ht="135.4">
      <c r="A178" s="3" t="s">
        <v>594</v>
      </c>
      <c r="B178" s="2" t="str">
        <f>TRIM(Table1[[#This Row],[Chat Name]])</f>
        <v>Cordon of Arrows</v>
      </c>
      <c r="C178" s="2">
        <v>2</v>
      </c>
      <c r="D178" s="2">
        <v>6</v>
      </c>
      <c r="E178" s="2" t="s">
        <v>96</v>
      </c>
      <c r="F178" s="6" t="b">
        <v>0</v>
      </c>
      <c r="G178" s="6" t="b">
        <v>1</v>
      </c>
      <c r="H178" s="2" t="s">
        <v>34</v>
      </c>
      <c r="I178" s="2" t="b">
        <v>0</v>
      </c>
      <c r="J178" s="2" t="s">
        <v>40</v>
      </c>
      <c r="K178" s="2" t="s">
        <v>595</v>
      </c>
      <c r="L178" s="2" t="b">
        <v>0</v>
      </c>
      <c r="M178" s="2" t="s">
        <v>596</v>
      </c>
      <c r="N178" s="2" t="s">
        <v>597</v>
      </c>
      <c r="O178" s="2" t="s">
        <v>598</v>
      </c>
      <c r="P178" s="13" t="s">
        <v>598</v>
      </c>
    </row>
    <row r="179" spans="1:16" ht="73.900000000000006">
      <c r="A179" s="3" t="s">
        <v>599</v>
      </c>
      <c r="B179" s="2" t="str">
        <f>TRIM(Table1[[#This Row],[Chat Name]])</f>
        <v>Counterspell</v>
      </c>
      <c r="C179" s="2">
        <v>4</v>
      </c>
      <c r="D179" s="2">
        <v>15</v>
      </c>
      <c r="E179" s="2" t="s">
        <v>30</v>
      </c>
      <c r="F179" s="6" t="b">
        <v>0</v>
      </c>
      <c r="G179" s="6" t="b">
        <v>1</v>
      </c>
      <c r="H179" s="2" t="s">
        <v>600</v>
      </c>
      <c r="I179" s="2" t="b">
        <v>0</v>
      </c>
      <c r="J179" s="2" t="s">
        <v>19</v>
      </c>
      <c r="K179" s="2" t="s">
        <v>56</v>
      </c>
      <c r="L179" s="2" t="b">
        <v>0</v>
      </c>
      <c r="M179" s="2" t="s">
        <v>601</v>
      </c>
      <c r="N179" s="2" t="s">
        <v>602</v>
      </c>
      <c r="O179" s="2" t="s">
        <v>603</v>
      </c>
      <c r="P179" s="13" t="s">
        <v>603</v>
      </c>
    </row>
    <row r="180" spans="1:16" ht="123">
      <c r="A180" s="3" t="s">
        <v>604</v>
      </c>
      <c r="B180" s="2" t="str">
        <f>TRIM(Table1[[#This Row],[Chat Name]])</f>
        <v>Create Bonfire</v>
      </c>
      <c r="C180" s="2">
        <v>0</v>
      </c>
      <c r="D180" s="2">
        <v>0</v>
      </c>
      <c r="E180" s="2" t="s">
        <v>153</v>
      </c>
      <c r="F180" s="6" t="b">
        <v>1</v>
      </c>
      <c r="G180" s="6" t="b">
        <v>0</v>
      </c>
      <c r="H180" s="2" t="s">
        <v>34</v>
      </c>
      <c r="I180" s="2" t="b">
        <v>1</v>
      </c>
      <c r="J180" s="2" t="s">
        <v>272</v>
      </c>
      <c r="K180" s="2" t="s">
        <v>56</v>
      </c>
      <c r="L180" s="2" t="b">
        <v>0</v>
      </c>
      <c r="M180" s="2" t="s">
        <v>605</v>
      </c>
      <c r="N180" s="2" t="s">
        <v>606</v>
      </c>
      <c r="O180" s="2"/>
    </row>
    <row r="181" spans="1:16" ht="61.5">
      <c r="A181" s="3" t="s">
        <v>607</v>
      </c>
      <c r="B181" s="2" t="str">
        <f>TRIM(Table1[[#This Row],[Chat Name]])</f>
        <v>Create Food and Water</v>
      </c>
      <c r="C181" s="2">
        <v>4</v>
      </c>
      <c r="D181" s="2">
        <v>15</v>
      </c>
      <c r="E181" s="2" t="s">
        <v>244</v>
      </c>
      <c r="F181" s="6" t="b">
        <v>1</v>
      </c>
      <c r="G181" s="6" t="b">
        <v>0</v>
      </c>
      <c r="H181" s="2" t="s">
        <v>34</v>
      </c>
      <c r="I181" s="2" t="b">
        <v>0</v>
      </c>
      <c r="J181" s="2" t="s">
        <v>19</v>
      </c>
      <c r="K181" s="2" t="s">
        <v>52</v>
      </c>
      <c r="L181" s="2" t="b">
        <v>0</v>
      </c>
      <c r="M181" s="2" t="s">
        <v>608</v>
      </c>
      <c r="N181" s="2" t="s">
        <v>608</v>
      </c>
      <c r="O181" s="2"/>
    </row>
    <row r="182" spans="1:16" ht="86.1">
      <c r="A182" s="3" t="s">
        <v>609</v>
      </c>
      <c r="B182" s="2" t="str">
        <f>TRIM(Table1[[#This Row],[Chat Name]])</f>
        <v>Create or Destroy Water</v>
      </c>
      <c r="C182" s="2">
        <v>1</v>
      </c>
      <c r="D182" s="2">
        <v>3</v>
      </c>
      <c r="E182" s="2" t="s">
        <v>153</v>
      </c>
      <c r="F182" s="6" t="b">
        <v>1</v>
      </c>
      <c r="G182" s="6" t="b">
        <v>0</v>
      </c>
      <c r="H182" s="2" t="s">
        <v>34</v>
      </c>
      <c r="I182" s="2" t="b">
        <v>0</v>
      </c>
      <c r="J182" s="2" t="s">
        <v>19</v>
      </c>
      <c r="K182" s="2" t="s">
        <v>52</v>
      </c>
      <c r="L182" s="2" t="b">
        <v>0</v>
      </c>
      <c r="M182" s="2" t="s">
        <v>610</v>
      </c>
      <c r="N182" s="2" t="s">
        <v>610</v>
      </c>
      <c r="O182" s="2" t="s">
        <v>611</v>
      </c>
      <c r="P182" s="13" t="s">
        <v>611</v>
      </c>
    </row>
    <row r="183" spans="1:16" ht="184.5">
      <c r="A183" s="3" t="s">
        <v>612</v>
      </c>
      <c r="B183" s="2" t="str">
        <f>TRIM(Table1[[#This Row],[Chat Name]])</f>
        <v>Mordenkainen's Private Sanctum</v>
      </c>
      <c r="C183" s="2">
        <v>5</v>
      </c>
      <c r="D183" s="2">
        <v>21</v>
      </c>
      <c r="E183" s="2" t="s">
        <v>80</v>
      </c>
      <c r="F183" s="6" t="b">
        <v>1</v>
      </c>
      <c r="G183" s="6" t="b">
        <v>0</v>
      </c>
      <c r="H183" s="2" t="s">
        <v>18</v>
      </c>
      <c r="I183" s="2" t="b">
        <v>0</v>
      </c>
      <c r="J183" s="2" t="s">
        <v>232</v>
      </c>
      <c r="K183" s="2" t="s">
        <v>160</v>
      </c>
      <c r="L183" s="2" t="b">
        <v>0</v>
      </c>
      <c r="M183" s="2" t="s">
        <v>613</v>
      </c>
      <c r="N183" s="2" t="s">
        <v>614</v>
      </c>
      <c r="O183" s="2" t="s">
        <v>615</v>
      </c>
      <c r="P183" s="13" t="s">
        <v>615</v>
      </c>
    </row>
    <row r="184" spans="1:16" ht="246">
      <c r="A184" s="3" t="s">
        <v>616</v>
      </c>
      <c r="B184" s="2" t="str">
        <f>TRIM(Table1[[#This Row],[Chat Name]])</f>
        <v>Create Undead</v>
      </c>
      <c r="C184" s="2">
        <v>7</v>
      </c>
      <c r="D184" s="2">
        <v>36</v>
      </c>
      <c r="E184" s="2" t="s">
        <v>17</v>
      </c>
      <c r="F184" s="6" t="b">
        <v>0</v>
      </c>
      <c r="G184" s="6" t="b">
        <v>1</v>
      </c>
      <c r="H184" s="2" t="s">
        <v>39</v>
      </c>
      <c r="I184" s="2" t="b">
        <v>0</v>
      </c>
      <c r="J184" s="2" t="s">
        <v>19</v>
      </c>
      <c r="K184" s="2" t="s">
        <v>132</v>
      </c>
      <c r="L184" s="2" t="b">
        <v>0</v>
      </c>
      <c r="M184" s="2" t="s">
        <v>617</v>
      </c>
      <c r="N184" s="2" t="s">
        <v>618</v>
      </c>
      <c r="O184" s="2" t="s">
        <v>619</v>
      </c>
      <c r="P184" s="13" t="s">
        <v>619</v>
      </c>
    </row>
    <row r="185" spans="1:16" ht="123">
      <c r="A185" s="3" t="s">
        <v>620</v>
      </c>
      <c r="B185" s="2" t="str">
        <f>TRIM(Table1[[#This Row],[Chat Name]])</f>
        <v>Creation</v>
      </c>
      <c r="C185" s="2">
        <v>7</v>
      </c>
      <c r="D185" s="2">
        <v>36</v>
      </c>
      <c r="E185" s="2" t="s">
        <v>80</v>
      </c>
      <c r="F185" s="6" t="b">
        <v>1</v>
      </c>
      <c r="G185" s="6" t="b">
        <v>0</v>
      </c>
      <c r="H185" s="2" t="s">
        <v>39</v>
      </c>
      <c r="I185" s="2" t="b">
        <v>0</v>
      </c>
      <c r="J185" s="2" t="s">
        <v>621</v>
      </c>
      <c r="K185" s="2" t="s">
        <v>52</v>
      </c>
      <c r="L185" s="2" t="b">
        <v>0</v>
      </c>
      <c r="M185" s="2" t="s">
        <v>622</v>
      </c>
      <c r="N185" s="2" t="s">
        <v>623</v>
      </c>
      <c r="O185" s="2" t="s">
        <v>624</v>
      </c>
      <c r="P185" s="13" t="s">
        <v>624</v>
      </c>
    </row>
    <row r="186" spans="1:16" ht="221.45">
      <c r="A186" s="3" t="s">
        <v>625</v>
      </c>
      <c r="B186" s="2" t="str">
        <f>TRIM(Table1[[#This Row],[Chat Name]])</f>
        <v>Crimson Mark</v>
      </c>
      <c r="C186" s="2">
        <v>3</v>
      </c>
      <c r="D186" s="2">
        <v>9</v>
      </c>
      <c r="E186" s="2" t="s">
        <v>17</v>
      </c>
      <c r="F186" s="7" t="b">
        <v>0</v>
      </c>
      <c r="G186" s="7" t="b">
        <v>1</v>
      </c>
      <c r="H186" s="2" t="s">
        <v>34</v>
      </c>
      <c r="I186" s="2" t="b">
        <v>1</v>
      </c>
      <c r="J186" s="2" t="s">
        <v>39</v>
      </c>
      <c r="K186" s="2" t="s">
        <v>26</v>
      </c>
      <c r="L186" s="2" t="b">
        <v>0</v>
      </c>
      <c r="M186" s="2"/>
      <c r="N186" s="2" t="s">
        <v>626</v>
      </c>
      <c r="O186" s="2" t="s">
        <v>627</v>
      </c>
      <c r="P186" s="13" t="s">
        <v>627</v>
      </c>
    </row>
    <row r="187" spans="1:16" ht="98.45">
      <c r="A187" s="3" t="s">
        <v>628</v>
      </c>
      <c r="B187" s="2" t="str">
        <f>TRIM(Table1[[#This Row],[Chat Name]])</f>
        <v>Rime's Binding Ice</v>
      </c>
      <c r="C187" s="2">
        <v>2</v>
      </c>
      <c r="D187" s="2">
        <v>6</v>
      </c>
      <c r="E187" s="2" t="s">
        <v>153</v>
      </c>
      <c r="F187" s="6" t="b">
        <v>1</v>
      </c>
      <c r="G187" s="6" t="b">
        <v>0</v>
      </c>
      <c r="H187" s="2" t="s">
        <v>34</v>
      </c>
      <c r="I187" s="2" t="b">
        <v>0</v>
      </c>
      <c r="J187" s="2" t="s">
        <v>19</v>
      </c>
      <c r="K187" s="2" t="s">
        <v>48</v>
      </c>
      <c r="L187" s="2" t="b">
        <v>0</v>
      </c>
      <c r="M187" s="2" t="s">
        <v>629</v>
      </c>
      <c r="N187" s="2" t="s">
        <v>629</v>
      </c>
      <c r="O187" s="2" t="s">
        <v>630</v>
      </c>
      <c r="P187" s="13" t="s">
        <v>630</v>
      </c>
    </row>
    <row r="188" spans="1:16" ht="159.94999999999999">
      <c r="A188" s="3" t="s">
        <v>631</v>
      </c>
      <c r="B188" s="2" t="str">
        <f>TRIM(Table1[[#This Row],[Chat Name]])</f>
        <v>Crown of Madness</v>
      </c>
      <c r="C188" s="2">
        <v>2</v>
      </c>
      <c r="D188" s="2">
        <v>6</v>
      </c>
      <c r="E188" s="2" t="s">
        <v>73</v>
      </c>
      <c r="F188" s="6" t="b">
        <v>0</v>
      </c>
      <c r="G188" s="6" t="b">
        <v>1</v>
      </c>
      <c r="H188" s="2" t="s">
        <v>34</v>
      </c>
      <c r="I188" s="2" t="b">
        <v>1</v>
      </c>
      <c r="J188" s="2" t="s">
        <v>272</v>
      </c>
      <c r="K188" s="2" t="s">
        <v>160</v>
      </c>
      <c r="L188" s="2" t="b">
        <v>0</v>
      </c>
      <c r="M188" s="2" t="s">
        <v>632</v>
      </c>
      <c r="N188" s="2" t="s">
        <v>633</v>
      </c>
      <c r="O188" s="2"/>
    </row>
    <row r="189" spans="1:16" ht="123">
      <c r="A189" s="3" t="s">
        <v>634</v>
      </c>
      <c r="B189" s="2" t="str">
        <f>TRIM(Table1[[#This Row],[Chat Name]])</f>
        <v>Crown of Stars</v>
      </c>
      <c r="C189" s="2">
        <v>9</v>
      </c>
      <c r="D189" s="2">
        <v>54</v>
      </c>
      <c r="E189" s="2" t="s">
        <v>23</v>
      </c>
      <c r="F189" s="6" t="b">
        <v>1</v>
      </c>
      <c r="G189" s="6" t="b">
        <v>0</v>
      </c>
      <c r="H189" s="2" t="s">
        <v>34</v>
      </c>
      <c r="I189" s="2" t="b">
        <v>0</v>
      </c>
      <c r="J189" s="2" t="s">
        <v>35</v>
      </c>
      <c r="K189" s="2" t="s">
        <v>59</v>
      </c>
      <c r="L189" s="2" t="b">
        <v>0</v>
      </c>
      <c r="M189" s="2" t="s">
        <v>635</v>
      </c>
      <c r="N189" s="2" t="s">
        <v>636</v>
      </c>
      <c r="O189" s="2" t="s">
        <v>637</v>
      </c>
      <c r="P189" s="13" t="s">
        <v>637</v>
      </c>
    </row>
    <row r="190" spans="1:16" ht="61.5">
      <c r="A190" s="3" t="s">
        <v>638</v>
      </c>
      <c r="B190" s="2" t="str">
        <f>TRIM(Table1[[#This Row],[Chat Name]])</f>
        <v>Crusader's Mantle</v>
      </c>
      <c r="C190" s="2">
        <v>3</v>
      </c>
      <c r="D190" s="2">
        <v>9</v>
      </c>
      <c r="E190" s="2" t="s">
        <v>80</v>
      </c>
      <c r="F190" s="6" t="b">
        <v>1</v>
      </c>
      <c r="G190" s="6" t="b">
        <v>0</v>
      </c>
      <c r="H190" s="2" t="s">
        <v>34</v>
      </c>
      <c r="I190" s="2" t="b">
        <v>1</v>
      </c>
      <c r="J190" s="2" t="s">
        <v>272</v>
      </c>
      <c r="K190" s="2" t="s">
        <v>59</v>
      </c>
      <c r="L190" s="2" t="b">
        <v>0</v>
      </c>
      <c r="M190" s="2" t="s">
        <v>639</v>
      </c>
      <c r="N190" s="2" t="s">
        <v>640</v>
      </c>
      <c r="O190" s="2"/>
    </row>
    <row r="191" spans="1:16" ht="61.5">
      <c r="A191" s="3"/>
      <c r="B191" s="2" t="str">
        <f>TRIM(Table1[[#This Row],[Chat Name]])</f>
        <v/>
      </c>
      <c r="C191" s="2">
        <v>3</v>
      </c>
      <c r="D191" s="2">
        <v>9</v>
      </c>
      <c r="E191" s="2" t="s">
        <v>73</v>
      </c>
      <c r="F191" s="6" t="b">
        <v>0</v>
      </c>
      <c r="G191" s="6" t="b">
        <v>1</v>
      </c>
      <c r="H191" s="2" t="s">
        <v>34</v>
      </c>
      <c r="I191" s="2" t="b">
        <v>1</v>
      </c>
      <c r="J191" s="2" t="s">
        <v>39</v>
      </c>
      <c r="K191" s="2" t="s">
        <v>52</v>
      </c>
      <c r="L191" s="2" t="b">
        <v>0</v>
      </c>
      <c r="M191" s="2"/>
      <c r="N191" s="2" t="s">
        <v>641</v>
      </c>
      <c r="O191" s="2" t="s">
        <v>642</v>
      </c>
      <c r="P191" s="13" t="s">
        <v>642</v>
      </c>
    </row>
    <row r="192" spans="1:16" ht="57.6">
      <c r="A192" s="3" t="s">
        <v>643</v>
      </c>
      <c r="B192" s="2" t="str">
        <f>TRIM(Table1[[#This Row],[Chat Name]])</f>
        <v>Cure Wounds</v>
      </c>
      <c r="C192" s="2">
        <v>1</v>
      </c>
      <c r="D192" s="2">
        <v>3</v>
      </c>
      <c r="E192" s="2" t="s">
        <v>80</v>
      </c>
      <c r="F192" s="6" t="b">
        <v>1</v>
      </c>
      <c r="G192" s="6" t="b">
        <v>0</v>
      </c>
      <c r="H192" s="2" t="s">
        <v>34</v>
      </c>
      <c r="I192" s="2" t="b">
        <v>0</v>
      </c>
      <c r="J192" s="2" t="s">
        <v>19</v>
      </c>
      <c r="K192" s="2" t="s">
        <v>110</v>
      </c>
      <c r="L192" s="2" t="b">
        <v>0</v>
      </c>
      <c r="M192" s="2" t="s">
        <v>644</v>
      </c>
      <c r="N192" s="2" t="s">
        <v>645</v>
      </c>
      <c r="O192" s="2" t="s">
        <v>646</v>
      </c>
      <c r="P192" s="13" t="s">
        <v>646</v>
      </c>
    </row>
    <row r="193" spans="1:16" ht="110.65">
      <c r="A193" s="3" t="s">
        <v>647</v>
      </c>
      <c r="B193" s="2" t="str">
        <f>TRIM(Table1[[#This Row],[Chat Name]])</f>
        <v>Dancing Lights</v>
      </c>
      <c r="C193" s="2">
        <v>0</v>
      </c>
      <c r="D193" s="2">
        <v>0</v>
      </c>
      <c r="E193" s="2" t="s">
        <v>23</v>
      </c>
      <c r="F193" s="6" t="b">
        <v>1</v>
      </c>
      <c r="G193" s="6" t="b">
        <v>0</v>
      </c>
      <c r="H193" s="2" t="s">
        <v>34</v>
      </c>
      <c r="I193" s="2" t="b">
        <v>1</v>
      </c>
      <c r="J193" s="2" t="s">
        <v>272</v>
      </c>
      <c r="K193" s="2" t="s">
        <v>160</v>
      </c>
      <c r="L193" s="2" t="b">
        <v>0</v>
      </c>
      <c r="M193" s="2" t="s">
        <v>648</v>
      </c>
      <c r="N193" s="2" t="s">
        <v>649</v>
      </c>
      <c r="O193" s="2"/>
    </row>
    <row r="194" spans="1:16" ht="221.45">
      <c r="A194" s="3" t="s">
        <v>650</v>
      </c>
      <c r="B194" s="2" t="str">
        <f>TRIM(Table1[[#This Row],[Chat Name]])</f>
        <v>Danse Macabre</v>
      </c>
      <c r="C194" s="2">
        <v>6</v>
      </c>
      <c r="D194" s="2">
        <v>27</v>
      </c>
      <c r="E194" s="2" t="s">
        <v>17</v>
      </c>
      <c r="F194" s="6" t="b">
        <v>0</v>
      </c>
      <c r="G194" s="6" t="b">
        <v>1</v>
      </c>
      <c r="H194" s="2" t="s">
        <v>34</v>
      </c>
      <c r="I194" s="2" t="b">
        <v>1</v>
      </c>
      <c r="J194" s="2" t="s">
        <v>245</v>
      </c>
      <c r="K194" s="2" t="s">
        <v>56</v>
      </c>
      <c r="L194" s="2" t="b">
        <v>0</v>
      </c>
      <c r="M194" s="2" t="s">
        <v>651</v>
      </c>
      <c r="N194" s="2" t="s">
        <v>652</v>
      </c>
      <c r="O194" s="2" t="s">
        <v>653</v>
      </c>
      <c r="P194" s="13" t="s">
        <v>653</v>
      </c>
    </row>
    <row r="195" spans="1:16" ht="221.45">
      <c r="A195" s="3" t="s">
        <v>654</v>
      </c>
      <c r="B195" s="2" t="str">
        <f>TRIM(Table1[[#This Row],[Chat Name]])</f>
        <v>Dark Star</v>
      </c>
      <c r="C195" s="2">
        <v>10</v>
      </c>
      <c r="D195" s="2">
        <v>66</v>
      </c>
      <c r="E195" s="2" t="s">
        <v>23</v>
      </c>
      <c r="F195" s="6" t="b">
        <v>1</v>
      </c>
      <c r="G195" s="6" t="b">
        <v>0</v>
      </c>
      <c r="H195" s="2" t="s">
        <v>34</v>
      </c>
      <c r="I195" s="2" t="b">
        <v>1</v>
      </c>
      <c r="J195" s="2" t="s">
        <v>272</v>
      </c>
      <c r="K195" s="2" t="s">
        <v>460</v>
      </c>
      <c r="L195" s="2" t="b">
        <v>0</v>
      </c>
      <c r="M195" s="2" t="s">
        <v>655</v>
      </c>
      <c r="N195" s="2" t="s">
        <v>656</v>
      </c>
      <c r="O195" s="2"/>
    </row>
    <row r="196" spans="1:16" ht="221.45">
      <c r="A196" s="3" t="s">
        <v>657</v>
      </c>
      <c r="B196" s="2" t="str">
        <f>TRIM(Table1[[#This Row],[Chat Name]])</f>
        <v>Darkened Oblivion</v>
      </c>
      <c r="C196" s="2">
        <v>12</v>
      </c>
      <c r="D196" s="2">
        <v>90</v>
      </c>
      <c r="E196" s="2" t="s">
        <v>17</v>
      </c>
      <c r="F196" s="7" t="b">
        <v>0</v>
      </c>
      <c r="G196" s="7" t="b">
        <v>1</v>
      </c>
      <c r="H196" s="2" t="s">
        <v>34</v>
      </c>
      <c r="I196" s="2" t="b">
        <v>1</v>
      </c>
      <c r="J196" s="2" t="s">
        <v>18</v>
      </c>
      <c r="K196" s="2" t="s">
        <v>658</v>
      </c>
      <c r="L196" s="2" t="b">
        <v>0</v>
      </c>
      <c r="M196" s="2"/>
      <c r="N196" s="2" t="s">
        <v>659</v>
      </c>
      <c r="O196" s="2"/>
    </row>
    <row r="197" spans="1:16" ht="135.4">
      <c r="A197" s="3" t="s">
        <v>660</v>
      </c>
      <c r="B197" s="2" t="str">
        <f>TRIM(Table1[[#This Row],[Chat Name]])</f>
        <v>Darkness</v>
      </c>
      <c r="C197" s="2">
        <v>3</v>
      </c>
      <c r="D197" s="2">
        <v>9</v>
      </c>
      <c r="E197" s="2" t="s">
        <v>23</v>
      </c>
      <c r="F197" s="6" t="b">
        <v>1</v>
      </c>
      <c r="G197" s="6" t="b">
        <v>0</v>
      </c>
      <c r="H197" s="2" t="s">
        <v>34</v>
      </c>
      <c r="I197" s="2" t="b">
        <v>1</v>
      </c>
      <c r="J197" s="2" t="s">
        <v>301</v>
      </c>
      <c r="K197" s="2" t="s">
        <v>56</v>
      </c>
      <c r="L197" s="2" t="b">
        <v>0</v>
      </c>
      <c r="M197" s="2" t="s">
        <v>661</v>
      </c>
      <c r="N197" s="2" t="s">
        <v>662</v>
      </c>
      <c r="O197" s="2"/>
    </row>
    <row r="198" spans="1:16" ht="36.950000000000003">
      <c r="A198" s="3" t="s">
        <v>663</v>
      </c>
      <c r="B198" s="2" t="str">
        <f>TRIM(Table1[[#This Row],[Chat Name]])</f>
        <v>Darkvision</v>
      </c>
      <c r="C198" s="2">
        <v>2</v>
      </c>
      <c r="D198" s="2">
        <v>6</v>
      </c>
      <c r="E198" s="2" t="s">
        <v>23</v>
      </c>
      <c r="F198" s="6" t="b">
        <v>1</v>
      </c>
      <c r="G198" s="6" t="b">
        <v>0</v>
      </c>
      <c r="H198" s="2" t="s">
        <v>34</v>
      </c>
      <c r="I198" s="2" t="b">
        <v>0</v>
      </c>
      <c r="J198" s="2" t="s">
        <v>40</v>
      </c>
      <c r="K198" s="2" t="s">
        <v>110</v>
      </c>
      <c r="L198" s="2" t="b">
        <v>0</v>
      </c>
      <c r="M198" s="2" t="s">
        <v>664</v>
      </c>
      <c r="N198" s="2" t="s">
        <v>664</v>
      </c>
      <c r="O198" s="2"/>
    </row>
    <row r="199" spans="1:16" ht="409.5">
      <c r="A199" s="3" t="s">
        <v>665</v>
      </c>
      <c r="B199" s="2" t="str">
        <f>TRIM(Table1[[#This Row],[Chat Name]])</f>
        <v>Bigby's Hand</v>
      </c>
      <c r="C199" s="2">
        <v>6</v>
      </c>
      <c r="D199" s="2">
        <v>27</v>
      </c>
      <c r="E199" s="2" t="s">
        <v>30</v>
      </c>
      <c r="F199" s="6" t="b">
        <v>0</v>
      </c>
      <c r="G199" s="6" t="b">
        <v>1</v>
      </c>
      <c r="H199" s="2" t="s">
        <v>34</v>
      </c>
      <c r="I199" s="2" t="b">
        <v>1</v>
      </c>
      <c r="J199" s="2" t="s">
        <v>272</v>
      </c>
      <c r="K199" s="2" t="s">
        <v>160</v>
      </c>
      <c r="L199" s="2" t="b">
        <v>0</v>
      </c>
      <c r="M199" s="2" t="s">
        <v>666</v>
      </c>
      <c r="N199" s="2" t="s">
        <v>667</v>
      </c>
      <c r="O199" s="2" t="s">
        <v>668</v>
      </c>
      <c r="P199" s="13" t="s">
        <v>668</v>
      </c>
    </row>
    <row r="200" spans="1:16" ht="110.65">
      <c r="A200" s="3" t="s">
        <v>669</v>
      </c>
      <c r="B200" s="2" t="str">
        <f>TRIM(Table1[[#This Row],[Chat Name]])</f>
        <v>Dawn</v>
      </c>
      <c r="C200" s="2">
        <v>7</v>
      </c>
      <c r="D200" s="2">
        <v>36</v>
      </c>
      <c r="E200" s="2" t="s">
        <v>23</v>
      </c>
      <c r="F200" s="6" t="b">
        <v>1</v>
      </c>
      <c r="G200" s="6" t="b">
        <v>0</v>
      </c>
      <c r="H200" s="2" t="s">
        <v>34</v>
      </c>
      <c r="I200" s="2" t="b">
        <v>1</v>
      </c>
      <c r="J200" s="2" t="s">
        <v>272</v>
      </c>
      <c r="K200" s="2" t="s">
        <v>56</v>
      </c>
      <c r="L200" s="2" t="b">
        <v>0</v>
      </c>
      <c r="M200" s="2" t="s">
        <v>670</v>
      </c>
      <c r="N200" s="2" t="s">
        <v>671</v>
      </c>
      <c r="O200" s="2"/>
    </row>
    <row r="201" spans="1:16" ht="110.65">
      <c r="A201" s="3" t="s">
        <v>672</v>
      </c>
      <c r="B201" s="2" t="str">
        <f>TRIM(Table1[[#This Row],[Chat Name]])</f>
        <v>Daylight</v>
      </c>
      <c r="C201" s="2">
        <v>3</v>
      </c>
      <c r="D201" s="2">
        <v>9</v>
      </c>
      <c r="E201" s="2" t="s">
        <v>23</v>
      </c>
      <c r="F201" s="6" t="b">
        <v>1</v>
      </c>
      <c r="G201" s="6" t="b">
        <v>0</v>
      </c>
      <c r="H201" s="2" t="s">
        <v>34</v>
      </c>
      <c r="I201" s="2" t="b">
        <v>0</v>
      </c>
      <c r="J201" s="2" t="s">
        <v>35</v>
      </c>
      <c r="K201" s="2" t="s">
        <v>56</v>
      </c>
      <c r="L201" s="2" t="b">
        <v>0</v>
      </c>
      <c r="M201" s="2" t="s">
        <v>673</v>
      </c>
      <c r="N201" s="2" t="s">
        <v>674</v>
      </c>
      <c r="O201" s="2"/>
    </row>
    <row r="202" spans="1:16" ht="86.1">
      <c r="A202" s="3" t="s">
        <v>675</v>
      </c>
      <c r="B202" s="2" t="str">
        <f>TRIM(Table1[[#This Row],[Chat Name]])</f>
        <v>Death Ward</v>
      </c>
      <c r="C202" s="2">
        <v>5</v>
      </c>
      <c r="D202" s="2">
        <v>21</v>
      </c>
      <c r="E202" s="2" t="s">
        <v>80</v>
      </c>
      <c r="F202" s="6" t="b">
        <v>1</v>
      </c>
      <c r="G202" s="6" t="b">
        <v>0</v>
      </c>
      <c r="H202" s="2" t="s">
        <v>34</v>
      </c>
      <c r="I202" s="2" t="b">
        <v>0</v>
      </c>
      <c r="J202" s="2" t="s">
        <v>40</v>
      </c>
      <c r="K202" s="2" t="s">
        <v>110</v>
      </c>
      <c r="L202" s="2" t="b">
        <v>0</v>
      </c>
      <c r="M202" s="2" t="s">
        <v>676</v>
      </c>
      <c r="N202" s="2" t="s">
        <v>677</v>
      </c>
      <c r="O202" s="2"/>
    </row>
    <row r="203" spans="1:16" ht="100.9">
      <c r="A203" s="3" t="s">
        <v>678</v>
      </c>
      <c r="B203" s="2" t="str">
        <f>TRIM(Table1[[#This Row],[Chat Name]])</f>
        <v>Debilitate</v>
      </c>
      <c r="C203" s="2">
        <v>2</v>
      </c>
      <c r="D203" s="2">
        <v>6</v>
      </c>
      <c r="E203" s="2" t="s">
        <v>679</v>
      </c>
      <c r="F203" s="7" t="b">
        <v>0</v>
      </c>
      <c r="G203" s="7" t="b">
        <v>1</v>
      </c>
      <c r="H203" s="2" t="s">
        <v>34</v>
      </c>
      <c r="I203" s="2" t="b">
        <v>1</v>
      </c>
      <c r="J203" s="2" t="s">
        <v>39</v>
      </c>
      <c r="K203" s="2" t="s">
        <v>52</v>
      </c>
      <c r="L203" s="2" t="b">
        <v>0</v>
      </c>
      <c r="M203" s="2"/>
      <c r="N203" s="11" t="s">
        <v>680</v>
      </c>
      <c r="O203" s="2" t="s">
        <v>681</v>
      </c>
      <c r="P203" s="13" t="s">
        <v>681</v>
      </c>
    </row>
    <row r="204" spans="1:16" ht="246">
      <c r="A204" s="3" t="s">
        <v>682</v>
      </c>
      <c r="B204" s="2" t="str">
        <f>TRIM(Table1[[#This Row],[Chat Name]])</f>
        <v>Bestow Curse</v>
      </c>
      <c r="C204" s="2">
        <v>4</v>
      </c>
      <c r="D204" s="2">
        <v>15</v>
      </c>
      <c r="E204" s="2" t="s">
        <v>96</v>
      </c>
      <c r="F204" s="6" t="b">
        <v>0</v>
      </c>
      <c r="G204" s="6" t="b">
        <v>1</v>
      </c>
      <c r="H204" s="2" t="s">
        <v>34</v>
      </c>
      <c r="I204" s="2" t="b">
        <v>1</v>
      </c>
      <c r="J204" s="2" t="s">
        <v>272</v>
      </c>
      <c r="K204" s="2" t="s">
        <v>110</v>
      </c>
      <c r="L204" s="2" t="b">
        <v>0</v>
      </c>
      <c r="M204" s="2" t="s">
        <v>683</v>
      </c>
      <c r="N204" s="2" t="s">
        <v>684</v>
      </c>
      <c r="O204" s="2" t="s">
        <v>685</v>
      </c>
      <c r="P204" s="13" t="s">
        <v>685</v>
      </c>
    </row>
    <row r="205" spans="1:16" ht="43.15">
      <c r="A205" s="3"/>
      <c r="B205" s="2" t="str">
        <f>TRIM(Table1[[#This Row],[Chat Name]])</f>
        <v/>
      </c>
      <c r="C205" s="2">
        <v>0</v>
      </c>
      <c r="D205" s="2">
        <v>0</v>
      </c>
      <c r="E205" s="2" t="s">
        <v>96</v>
      </c>
      <c r="F205" s="6" t="b">
        <v>0</v>
      </c>
      <c r="G205" s="6" t="b">
        <v>1</v>
      </c>
      <c r="H205" s="2" t="s">
        <v>34</v>
      </c>
      <c r="I205" s="2" t="b">
        <v>0</v>
      </c>
      <c r="J205" s="2" t="s">
        <v>19</v>
      </c>
      <c r="K205" s="2" t="s">
        <v>686</v>
      </c>
      <c r="L205" s="2" t="b">
        <v>0</v>
      </c>
      <c r="M205" s="2"/>
      <c r="N205" s="2" t="s">
        <v>687</v>
      </c>
      <c r="O205" s="2" t="s">
        <v>688</v>
      </c>
      <c r="P205" s="13" t="s">
        <v>688</v>
      </c>
    </row>
    <row r="206" spans="1:16" ht="233.65">
      <c r="A206" s="3" t="s">
        <v>689</v>
      </c>
      <c r="B206" s="2" t="str">
        <f>TRIM(Table1[[#This Row],[Chat Name]])</f>
        <v>Delayed Blast Fireball</v>
      </c>
      <c r="C206" s="2">
        <v>9</v>
      </c>
      <c r="D206" s="2">
        <v>54</v>
      </c>
      <c r="E206" s="2" t="s">
        <v>153</v>
      </c>
      <c r="F206" s="6" t="b">
        <v>1</v>
      </c>
      <c r="G206" s="6" t="b">
        <v>0</v>
      </c>
      <c r="H206" s="2" t="s">
        <v>34</v>
      </c>
      <c r="I206" s="2" t="b">
        <v>1</v>
      </c>
      <c r="J206" s="2" t="s">
        <v>272</v>
      </c>
      <c r="K206" s="2" t="s">
        <v>460</v>
      </c>
      <c r="L206" s="2" t="b">
        <v>0</v>
      </c>
      <c r="M206" s="2" t="s">
        <v>690</v>
      </c>
      <c r="N206" s="2" t="s">
        <v>691</v>
      </c>
      <c r="O206" s="2" t="s">
        <v>692</v>
      </c>
      <c r="P206" s="13" t="s">
        <v>692</v>
      </c>
    </row>
    <row r="207" spans="1:16" ht="159.94999999999999">
      <c r="A207" s="3" t="s">
        <v>693</v>
      </c>
      <c r="B207" s="2" t="str">
        <f>TRIM(Table1[[#This Row],[Chat Name]])</f>
        <v>Demiplane</v>
      </c>
      <c r="C207" s="2">
        <v>10</v>
      </c>
      <c r="D207" s="2">
        <v>66</v>
      </c>
      <c r="E207" s="2" t="s">
        <v>96</v>
      </c>
      <c r="F207" s="6" t="b">
        <v>0</v>
      </c>
      <c r="G207" s="6" t="b">
        <v>1</v>
      </c>
      <c r="H207" s="2" t="s">
        <v>34</v>
      </c>
      <c r="I207" s="2" t="b">
        <v>0</v>
      </c>
      <c r="J207" s="2" t="s">
        <v>35</v>
      </c>
      <c r="K207" s="2" t="s">
        <v>56</v>
      </c>
      <c r="L207" s="2" t="b">
        <v>0</v>
      </c>
      <c r="M207" s="2" t="s">
        <v>694</v>
      </c>
      <c r="N207" s="2" t="s">
        <v>695</v>
      </c>
      <c r="O207" s="2"/>
    </row>
    <row r="208" spans="1:16" ht="57.6">
      <c r="A208" s="3"/>
      <c r="B208" s="2" t="str">
        <f>TRIM(Table1[[#This Row],[Chat Name]])</f>
        <v/>
      </c>
      <c r="C208" s="2">
        <v>0</v>
      </c>
      <c r="D208" s="2">
        <v>0</v>
      </c>
      <c r="E208" s="2" t="s">
        <v>17</v>
      </c>
      <c r="F208" s="6" t="b">
        <v>0</v>
      </c>
      <c r="G208" s="6" t="b">
        <v>1</v>
      </c>
      <c r="H208" s="2" t="s">
        <v>34</v>
      </c>
      <c r="I208" s="2" t="b">
        <v>0</v>
      </c>
      <c r="J208" s="2" t="s">
        <v>19</v>
      </c>
      <c r="K208" s="2" t="s">
        <v>160</v>
      </c>
      <c r="L208" s="2" t="b">
        <v>0</v>
      </c>
      <c r="M208" s="2"/>
      <c r="N208" s="2" t="s">
        <v>696</v>
      </c>
      <c r="O208" s="2" t="s">
        <v>697</v>
      </c>
      <c r="P208" s="13" t="s">
        <v>698</v>
      </c>
    </row>
    <row r="209" spans="1:16" ht="86.1">
      <c r="A209" s="3" t="s">
        <v>699</v>
      </c>
      <c r="B209" s="2" t="str">
        <f>TRIM(Table1[[#This Row],[Chat Name]])</f>
        <v>Destructive Wave</v>
      </c>
      <c r="C209" s="2">
        <v>6</v>
      </c>
      <c r="D209" s="2">
        <v>27</v>
      </c>
      <c r="E209" s="2" t="s">
        <v>17</v>
      </c>
      <c r="F209" s="6" t="b">
        <v>0</v>
      </c>
      <c r="G209" s="6" t="b">
        <v>1</v>
      </c>
      <c r="H209" s="2" t="s">
        <v>34</v>
      </c>
      <c r="I209" s="2" t="b">
        <v>0</v>
      </c>
      <c r="J209" s="2" t="s">
        <v>19</v>
      </c>
      <c r="K209" s="2" t="s">
        <v>327</v>
      </c>
      <c r="L209" s="2" t="b">
        <v>0</v>
      </c>
      <c r="M209" s="2" t="s">
        <v>700</v>
      </c>
      <c r="N209" s="2" t="s">
        <v>700</v>
      </c>
      <c r="O209" s="2"/>
    </row>
    <row r="210" spans="1:16" ht="86.1">
      <c r="A210" s="3" t="s">
        <v>701</v>
      </c>
      <c r="B210" s="2" t="str">
        <f>TRIM(Table1[[#This Row],[Chat Name]])</f>
        <v>Detect Evil and Good</v>
      </c>
      <c r="C210" s="2">
        <v>1</v>
      </c>
      <c r="D210" s="2">
        <v>3</v>
      </c>
      <c r="E210" s="2" t="s">
        <v>80</v>
      </c>
      <c r="F210" s="6" t="b">
        <v>1</v>
      </c>
      <c r="G210" s="6" t="b">
        <v>0</v>
      </c>
      <c r="H210" s="2" t="s">
        <v>34</v>
      </c>
      <c r="I210" s="2" t="b">
        <v>1</v>
      </c>
      <c r="J210" s="2" t="s">
        <v>301</v>
      </c>
      <c r="K210" s="2" t="s">
        <v>59</v>
      </c>
      <c r="L210" s="2" t="b">
        <v>0</v>
      </c>
      <c r="M210" s="2" t="s">
        <v>702</v>
      </c>
      <c r="N210" s="2" t="s">
        <v>703</v>
      </c>
      <c r="O210" s="2"/>
    </row>
    <row r="211" spans="1:16" ht="86.1">
      <c r="A211" s="3" t="s">
        <v>704</v>
      </c>
      <c r="B211" s="2" t="str">
        <f>TRIM(Table1[[#This Row],[Chat Name]])</f>
        <v>Detect Magic</v>
      </c>
      <c r="C211" s="2">
        <v>1</v>
      </c>
      <c r="D211" s="2">
        <v>3</v>
      </c>
      <c r="E211" s="2" t="s">
        <v>73</v>
      </c>
      <c r="F211" s="6" t="b">
        <v>0</v>
      </c>
      <c r="G211" s="6" t="b">
        <v>1</v>
      </c>
      <c r="H211" s="2" t="s">
        <v>34</v>
      </c>
      <c r="I211" s="2" t="b">
        <v>1</v>
      </c>
      <c r="J211" s="2" t="s">
        <v>301</v>
      </c>
      <c r="K211" s="2" t="s">
        <v>59</v>
      </c>
      <c r="L211" s="2" t="b">
        <v>1</v>
      </c>
      <c r="M211" s="2" t="s">
        <v>705</v>
      </c>
      <c r="N211" s="2" t="s">
        <v>706</v>
      </c>
      <c r="O211" s="2"/>
    </row>
    <row r="212" spans="1:16" ht="73.900000000000006">
      <c r="A212" s="3" t="s">
        <v>707</v>
      </c>
      <c r="B212" s="2" t="str">
        <f>TRIM(Table1[[#This Row],[Chat Name]])</f>
        <v>Detect Poison and Disease</v>
      </c>
      <c r="C212" s="2">
        <v>1</v>
      </c>
      <c r="D212" s="2">
        <v>3</v>
      </c>
      <c r="E212" s="2" t="s">
        <v>244</v>
      </c>
      <c r="F212" s="6" t="b">
        <v>1</v>
      </c>
      <c r="G212" s="6" t="b">
        <v>0</v>
      </c>
      <c r="H212" s="2" t="s">
        <v>34</v>
      </c>
      <c r="I212" s="2" t="b">
        <v>1</v>
      </c>
      <c r="J212" s="2" t="s">
        <v>301</v>
      </c>
      <c r="K212" s="2" t="s">
        <v>59</v>
      </c>
      <c r="L212" s="2" t="b">
        <v>1</v>
      </c>
      <c r="M212" s="2" t="s">
        <v>708</v>
      </c>
      <c r="N212" s="2" t="s">
        <v>709</v>
      </c>
      <c r="O212" s="2"/>
    </row>
    <row r="213" spans="1:16" ht="381.4">
      <c r="A213" s="3" t="s">
        <v>710</v>
      </c>
      <c r="B213" s="2" t="str">
        <f>TRIM(Table1[[#This Row],[Chat Name]])</f>
        <v>Detect Thoughts</v>
      </c>
      <c r="C213" s="2">
        <v>3</v>
      </c>
      <c r="D213" s="2">
        <v>9</v>
      </c>
      <c r="E213" s="2" t="s">
        <v>73</v>
      </c>
      <c r="F213" s="6" t="b">
        <v>0</v>
      </c>
      <c r="G213" s="6" t="b">
        <v>1</v>
      </c>
      <c r="H213" s="2" t="s">
        <v>34</v>
      </c>
      <c r="I213" s="2" t="b">
        <v>1</v>
      </c>
      <c r="J213" s="2" t="s">
        <v>272</v>
      </c>
      <c r="K213" s="2" t="s">
        <v>59</v>
      </c>
      <c r="L213" s="2" t="b">
        <v>0</v>
      </c>
      <c r="M213" s="2" t="s">
        <v>711</v>
      </c>
      <c r="N213" s="2" t="s">
        <v>712</v>
      </c>
      <c r="O213" s="2"/>
    </row>
    <row r="214" spans="1:16" ht="159.94999999999999">
      <c r="A214" s="3" t="s">
        <v>713</v>
      </c>
      <c r="B214" s="2" t="str">
        <f>TRIM(Table1[[#This Row],[Chat Name]])</f>
        <v>Dimension Door</v>
      </c>
      <c r="C214" s="2">
        <v>5</v>
      </c>
      <c r="D214" s="2">
        <v>21</v>
      </c>
      <c r="E214" s="2" t="s">
        <v>30</v>
      </c>
      <c r="F214" s="6" t="b">
        <v>0</v>
      </c>
      <c r="G214" s="6" t="b">
        <v>1</v>
      </c>
      <c r="H214" s="2" t="s">
        <v>34</v>
      </c>
      <c r="I214" s="2" t="b">
        <v>0</v>
      </c>
      <c r="J214" s="2" t="s">
        <v>19</v>
      </c>
      <c r="K214" s="2" t="s">
        <v>302</v>
      </c>
      <c r="L214" s="2" t="b">
        <v>0</v>
      </c>
      <c r="M214" s="2" t="s">
        <v>714</v>
      </c>
      <c r="N214" s="2" t="s">
        <v>715</v>
      </c>
      <c r="O214" s="2"/>
    </row>
    <row r="215" spans="1:16" ht="147.6">
      <c r="A215" s="3" t="s">
        <v>716</v>
      </c>
      <c r="B215" s="2" t="str">
        <f>TRIM(Table1[[#This Row],[Chat Name]])</f>
        <v>Dire Charm</v>
      </c>
      <c r="C215" s="2">
        <v>4</v>
      </c>
      <c r="D215" s="2">
        <v>15</v>
      </c>
      <c r="E215" s="2" t="s">
        <v>17</v>
      </c>
      <c r="F215" s="7" t="b">
        <v>0</v>
      </c>
      <c r="G215" s="7" t="b">
        <v>1</v>
      </c>
      <c r="H215" s="2" t="s">
        <v>34</v>
      </c>
      <c r="I215" s="2" t="b">
        <v>1</v>
      </c>
      <c r="J215" s="2" t="s">
        <v>39</v>
      </c>
      <c r="K215" s="2" t="s">
        <v>160</v>
      </c>
      <c r="L215" s="2" t="b">
        <v>0</v>
      </c>
      <c r="M215" s="2"/>
      <c r="N215" s="2" t="s">
        <v>717</v>
      </c>
      <c r="O215" s="2"/>
    </row>
    <row r="216" spans="1:16" ht="129.6">
      <c r="A216" s="3"/>
      <c r="B216" s="2" t="str">
        <f>TRIM(Table1[[#This Row],[Chat Name]])</f>
        <v/>
      </c>
      <c r="C216" s="2">
        <v>0</v>
      </c>
      <c r="D216" s="2">
        <v>0</v>
      </c>
      <c r="E216" s="2" t="s">
        <v>96</v>
      </c>
      <c r="F216" s="6" t="b">
        <v>0</v>
      </c>
      <c r="G216" s="6" t="b">
        <v>1</v>
      </c>
      <c r="H216" s="2" t="s">
        <v>34</v>
      </c>
      <c r="I216" s="2" t="b">
        <v>0</v>
      </c>
      <c r="J216" s="2" t="s">
        <v>19</v>
      </c>
      <c r="K216" s="2" t="s">
        <v>52</v>
      </c>
      <c r="L216" s="2" t="b">
        <v>0</v>
      </c>
      <c r="M216" s="2"/>
      <c r="N216" s="2" t="s">
        <v>718</v>
      </c>
      <c r="O216" s="2" t="s">
        <v>719</v>
      </c>
      <c r="P216" s="13" t="s">
        <v>719</v>
      </c>
    </row>
    <row r="217" spans="1:16" ht="172.15">
      <c r="A217" s="3" t="s">
        <v>720</v>
      </c>
      <c r="B217" s="2" t="str">
        <f>TRIM(Table1[[#This Row],[Chat Name]])</f>
        <v>Augury</v>
      </c>
      <c r="C217" s="2">
        <v>3</v>
      </c>
      <c r="D217" s="2">
        <v>9</v>
      </c>
      <c r="E217" s="2" t="s">
        <v>73</v>
      </c>
      <c r="F217" s="6" t="b">
        <v>0</v>
      </c>
      <c r="G217" s="6" t="b">
        <v>1</v>
      </c>
      <c r="H217" s="2" t="s">
        <v>39</v>
      </c>
      <c r="I217" s="2" t="b">
        <v>0</v>
      </c>
      <c r="J217" s="2" t="s">
        <v>19</v>
      </c>
      <c r="K217" s="2" t="s">
        <v>59</v>
      </c>
      <c r="L217" s="2" t="b">
        <v>1</v>
      </c>
      <c r="M217" s="2" t="s">
        <v>721</v>
      </c>
      <c r="N217" s="2" t="s">
        <v>722</v>
      </c>
      <c r="O217" s="2"/>
    </row>
    <row r="218" spans="1:16" ht="196.9">
      <c r="A218" s="3" t="s">
        <v>723</v>
      </c>
      <c r="B218" s="2" t="str">
        <f>TRIM(Table1[[#This Row],[Chat Name]])</f>
        <v>Disguise Self</v>
      </c>
      <c r="C218" s="2">
        <v>1</v>
      </c>
      <c r="D218" s="2">
        <v>3</v>
      </c>
      <c r="E218" s="2" t="s">
        <v>30</v>
      </c>
      <c r="F218" s="6" t="b">
        <v>0</v>
      </c>
      <c r="G218" s="6" t="b">
        <v>1</v>
      </c>
      <c r="H218" s="2" t="s">
        <v>34</v>
      </c>
      <c r="I218" s="2" t="b">
        <v>0</v>
      </c>
      <c r="J218" s="2" t="s">
        <v>35</v>
      </c>
      <c r="K218" s="2" t="s">
        <v>59</v>
      </c>
      <c r="L218" s="2" t="b">
        <v>0</v>
      </c>
      <c r="M218" s="2" t="s">
        <v>724</v>
      </c>
      <c r="N218" s="2" t="s">
        <v>725</v>
      </c>
      <c r="O218" s="2"/>
    </row>
    <row r="219" spans="1:16" ht="184.5">
      <c r="A219" s="3" t="s">
        <v>726</v>
      </c>
      <c r="B219" s="2" t="str">
        <f>TRIM(Table1[[#This Row],[Chat Name]])</f>
        <v>Disintegrate</v>
      </c>
      <c r="C219" s="2">
        <v>8</v>
      </c>
      <c r="D219" s="2">
        <v>45</v>
      </c>
      <c r="E219" s="2" t="s">
        <v>17</v>
      </c>
      <c r="F219" s="6" t="b">
        <v>0</v>
      </c>
      <c r="G219" s="6" t="b">
        <v>1</v>
      </c>
      <c r="H219" s="2" t="s">
        <v>34</v>
      </c>
      <c r="I219" s="2" t="b">
        <v>0</v>
      </c>
      <c r="J219" s="2" t="s">
        <v>19</v>
      </c>
      <c r="K219" s="2" t="s">
        <v>56</v>
      </c>
      <c r="L219" s="2" t="b">
        <v>0</v>
      </c>
      <c r="M219" s="2" t="s">
        <v>727</v>
      </c>
      <c r="N219" s="2" t="s">
        <v>728</v>
      </c>
      <c r="O219" s="2" t="s">
        <v>729</v>
      </c>
      <c r="P219" s="13" t="s">
        <v>729</v>
      </c>
    </row>
    <row r="220" spans="1:16" ht="209.1">
      <c r="A220" s="3" t="s">
        <v>730</v>
      </c>
      <c r="B220" s="2" t="str">
        <f>TRIM(Table1[[#This Row],[Chat Name]])</f>
        <v>Dispel Evil and Good</v>
      </c>
      <c r="C220" s="2">
        <v>6</v>
      </c>
      <c r="D220" s="2">
        <v>27</v>
      </c>
      <c r="E220" s="2" t="s">
        <v>30</v>
      </c>
      <c r="F220" s="6" t="b">
        <v>0</v>
      </c>
      <c r="G220" s="6" t="b">
        <v>1</v>
      </c>
      <c r="H220" s="2" t="s">
        <v>34</v>
      </c>
      <c r="I220" s="2" t="b">
        <v>1</v>
      </c>
      <c r="J220" s="2" t="s">
        <v>272</v>
      </c>
      <c r="K220" s="2" t="s">
        <v>59</v>
      </c>
      <c r="L220" s="2" t="b">
        <v>0</v>
      </c>
      <c r="M220" s="2" t="s">
        <v>731</v>
      </c>
      <c r="N220" s="2" t="s">
        <v>732</v>
      </c>
      <c r="O220" s="2"/>
    </row>
    <row r="221" spans="1:16" ht="86.45">
      <c r="A221" s="3" t="s">
        <v>733</v>
      </c>
      <c r="B221" s="2" t="str">
        <f>TRIM(Table1[[#This Row],[Chat Name]])</f>
        <v>Dispel Magic</v>
      </c>
      <c r="C221" s="2">
        <v>4</v>
      </c>
      <c r="D221" s="2">
        <v>15</v>
      </c>
      <c r="E221" s="2" t="s">
        <v>30</v>
      </c>
      <c r="F221" s="6" t="b">
        <v>0</v>
      </c>
      <c r="G221" s="6" t="b">
        <v>1</v>
      </c>
      <c r="H221" s="2" t="s">
        <v>34</v>
      </c>
      <c r="I221" s="2" t="b">
        <v>0</v>
      </c>
      <c r="J221" s="2" t="s">
        <v>19</v>
      </c>
      <c r="K221" s="2" t="s">
        <v>160</v>
      </c>
      <c r="L221" s="2" t="b">
        <v>0</v>
      </c>
      <c r="M221" s="2" t="s">
        <v>734</v>
      </c>
      <c r="N221" s="2" t="s">
        <v>735</v>
      </c>
      <c r="O221" s="2" t="s">
        <v>736</v>
      </c>
      <c r="P221" s="13" t="s">
        <v>736</v>
      </c>
    </row>
    <row r="222" spans="1:16" ht="110.65">
      <c r="A222" s="3" t="s">
        <v>737</v>
      </c>
      <c r="B222" s="2" t="str">
        <f>TRIM(Table1[[#This Row],[Chat Name]])</f>
        <v>Dissonant Whispers</v>
      </c>
      <c r="C222" s="2">
        <v>1</v>
      </c>
      <c r="D222" s="2">
        <v>3</v>
      </c>
      <c r="E222" s="2" t="s">
        <v>73</v>
      </c>
      <c r="F222" s="6" t="b">
        <v>0</v>
      </c>
      <c r="G222" s="6" t="b">
        <v>1</v>
      </c>
      <c r="H222" s="2" t="s">
        <v>34</v>
      </c>
      <c r="I222" s="2" t="b">
        <v>0</v>
      </c>
      <c r="J222" s="2" t="s">
        <v>19</v>
      </c>
      <c r="K222" s="2" t="s">
        <v>56</v>
      </c>
      <c r="L222" s="2" t="b">
        <v>0</v>
      </c>
      <c r="M222" s="2" t="s">
        <v>738</v>
      </c>
      <c r="N222" s="2" t="s">
        <v>739</v>
      </c>
      <c r="O222" s="2" t="s">
        <v>435</v>
      </c>
      <c r="P222" s="13" t="s">
        <v>435</v>
      </c>
    </row>
    <row r="223" spans="1:16" ht="233.65">
      <c r="A223" s="3"/>
      <c r="B223" s="2" t="str">
        <f>TRIM(Table1[[#This Row],[Chat Name]])</f>
        <v/>
      </c>
      <c r="C223" s="2">
        <v>3</v>
      </c>
      <c r="D223" s="2">
        <v>9</v>
      </c>
      <c r="E223" s="2" t="s">
        <v>73</v>
      </c>
      <c r="F223" s="6" t="b">
        <v>0</v>
      </c>
      <c r="G223" s="6" t="b">
        <v>1</v>
      </c>
      <c r="H223" s="2" t="s">
        <v>34</v>
      </c>
      <c r="I223" s="2" t="b">
        <v>0</v>
      </c>
      <c r="J223" s="2" t="s">
        <v>19</v>
      </c>
      <c r="K223" s="2" t="s">
        <v>52</v>
      </c>
      <c r="L223" s="2" t="b">
        <v>0</v>
      </c>
      <c r="M223" s="2"/>
      <c r="N223" s="2" t="s">
        <v>740</v>
      </c>
      <c r="O223" s="2" t="s">
        <v>741</v>
      </c>
      <c r="P223" s="13" t="s">
        <v>741</v>
      </c>
    </row>
    <row r="224" spans="1:16" ht="61.5">
      <c r="A224" s="3" t="s">
        <v>742</v>
      </c>
      <c r="B224" s="2" t="str">
        <f>TRIM(Table1[[#This Row],[Chat Name]])</f>
        <v>Distort Value</v>
      </c>
      <c r="C224" s="2">
        <v>1</v>
      </c>
      <c r="D224" s="2">
        <v>3</v>
      </c>
      <c r="E224" s="2" t="s">
        <v>96</v>
      </c>
      <c r="F224" s="6" t="b">
        <v>0</v>
      </c>
      <c r="G224" s="6" t="b">
        <v>1</v>
      </c>
      <c r="H224" s="2" t="s">
        <v>39</v>
      </c>
      <c r="I224" s="2" t="b">
        <v>0</v>
      </c>
      <c r="J224" s="2" t="s">
        <v>40</v>
      </c>
      <c r="K224" s="2" t="s">
        <v>110</v>
      </c>
      <c r="L224" s="2" t="b">
        <v>0</v>
      </c>
      <c r="M224" s="2" t="s">
        <v>743</v>
      </c>
      <c r="N224" s="2" t="s">
        <v>744</v>
      </c>
      <c r="O224" s="2" t="s">
        <v>745</v>
      </c>
      <c r="P224" s="13" t="s">
        <v>745</v>
      </c>
    </row>
    <row r="225" spans="1:16" ht="86.1">
      <c r="A225" s="3" t="s">
        <v>746</v>
      </c>
      <c r="B225" s="2" t="str">
        <f>TRIM(Table1[[#This Row],[Chat Name]])</f>
        <v>Divine Aid</v>
      </c>
      <c r="C225" s="2">
        <v>4</v>
      </c>
      <c r="D225" s="2">
        <v>14</v>
      </c>
      <c r="E225" s="2" t="s">
        <v>80</v>
      </c>
      <c r="F225" s="7" t="b">
        <v>1</v>
      </c>
      <c r="G225" s="7" t="b">
        <v>0</v>
      </c>
      <c r="H225" s="2" t="s">
        <v>747</v>
      </c>
      <c r="I225" s="2" t="b">
        <v>1</v>
      </c>
      <c r="J225" s="2" t="s">
        <v>39</v>
      </c>
      <c r="K225" s="2" t="s">
        <v>26</v>
      </c>
      <c r="L225" s="2" t="b">
        <v>0</v>
      </c>
      <c r="M225" s="2"/>
      <c r="N225" s="11" t="s">
        <v>748</v>
      </c>
      <c r="O225" s="2" t="s">
        <v>749</v>
      </c>
      <c r="P225" s="13" t="s">
        <v>749</v>
      </c>
    </row>
    <row r="226" spans="1:16" ht="110.65">
      <c r="A226" s="3"/>
      <c r="B226" s="2" t="str">
        <f>TRIM(Table1[[#This Row],[Chat Name]])</f>
        <v/>
      </c>
      <c r="C226" s="2">
        <v>4</v>
      </c>
      <c r="D226" s="2">
        <v>15</v>
      </c>
      <c r="E226" s="2" t="s">
        <v>80</v>
      </c>
      <c r="F226" s="6" t="b">
        <v>1</v>
      </c>
      <c r="G226" s="6" t="b">
        <v>0</v>
      </c>
      <c r="H226" s="2" t="s">
        <v>34</v>
      </c>
      <c r="I226" s="2" t="b">
        <v>0</v>
      </c>
      <c r="J226" s="2" t="s">
        <v>19</v>
      </c>
      <c r="K226" s="2" t="s">
        <v>56</v>
      </c>
      <c r="L226" s="2" t="b">
        <v>0</v>
      </c>
      <c r="M226" s="2"/>
      <c r="N226" s="2" t="s">
        <v>750</v>
      </c>
      <c r="O226" s="2" t="s">
        <v>751</v>
      </c>
      <c r="P226" s="13" t="s">
        <v>752</v>
      </c>
    </row>
    <row r="227" spans="1:16" ht="159.94999999999999">
      <c r="A227" s="3" t="s">
        <v>753</v>
      </c>
      <c r="B227" s="2" t="str">
        <f>TRIM(Table1[[#This Row],[Chat Name]])</f>
        <v>Divine Word</v>
      </c>
      <c r="C227" s="2">
        <v>9</v>
      </c>
      <c r="D227" s="2">
        <v>54</v>
      </c>
      <c r="E227" s="2" t="s">
        <v>80</v>
      </c>
      <c r="F227" s="6" t="b">
        <v>1</v>
      </c>
      <c r="G227" s="6" t="b">
        <v>0</v>
      </c>
      <c r="H227" s="2" t="s">
        <v>31</v>
      </c>
      <c r="I227" s="2" t="b">
        <v>0</v>
      </c>
      <c r="J227" s="2" t="s">
        <v>19</v>
      </c>
      <c r="K227" s="2" t="s">
        <v>52</v>
      </c>
      <c r="L227" s="2" t="b">
        <v>0</v>
      </c>
      <c r="M227" s="2" t="s">
        <v>754</v>
      </c>
      <c r="N227" s="2" t="s">
        <v>755</v>
      </c>
      <c r="O227" s="2"/>
    </row>
    <row r="228" spans="1:16" ht="246">
      <c r="A228" s="3" t="s">
        <v>756</v>
      </c>
      <c r="B228" s="2" t="str">
        <f>TRIM(Table1[[#This Row],[Chat Name]])</f>
        <v>Dominate Beast</v>
      </c>
      <c r="C228" s="2">
        <v>5</v>
      </c>
      <c r="D228" s="2">
        <v>21</v>
      </c>
      <c r="E228" s="2" t="s">
        <v>244</v>
      </c>
      <c r="F228" s="6" t="b">
        <v>1</v>
      </c>
      <c r="G228" s="6" t="b">
        <v>0</v>
      </c>
      <c r="H228" s="2" t="s">
        <v>34</v>
      </c>
      <c r="I228" s="2" t="b">
        <v>1</v>
      </c>
      <c r="J228" s="2" t="s">
        <v>272</v>
      </c>
      <c r="K228" s="2" t="s">
        <v>56</v>
      </c>
      <c r="L228" s="2" t="b">
        <v>0</v>
      </c>
      <c r="M228" s="2" t="s">
        <v>757</v>
      </c>
      <c r="N228" s="2" t="s">
        <v>758</v>
      </c>
      <c r="O228" s="2" t="s">
        <v>759</v>
      </c>
      <c r="P228" s="13" t="s">
        <v>759</v>
      </c>
    </row>
    <row r="229" spans="1:16" ht="246">
      <c r="A229" s="3" t="s">
        <v>760</v>
      </c>
      <c r="B229" s="2" t="str">
        <f>TRIM(Table1[[#This Row],[Chat Name]])</f>
        <v>Dominate Monster</v>
      </c>
      <c r="C229" s="2">
        <v>11</v>
      </c>
      <c r="D229" s="2">
        <v>78</v>
      </c>
      <c r="E229" s="2" t="s">
        <v>244</v>
      </c>
      <c r="F229" s="6" t="b">
        <v>1</v>
      </c>
      <c r="G229" s="6" t="b">
        <v>0</v>
      </c>
      <c r="H229" s="2" t="s">
        <v>34</v>
      </c>
      <c r="I229" s="2" t="b">
        <v>1</v>
      </c>
      <c r="J229" s="2" t="s">
        <v>245</v>
      </c>
      <c r="K229" s="2" t="s">
        <v>56</v>
      </c>
      <c r="L229" s="2" t="b">
        <v>0</v>
      </c>
      <c r="M229" s="2" t="s">
        <v>761</v>
      </c>
      <c r="N229" s="2" t="s">
        <v>762</v>
      </c>
      <c r="O229" s="2" t="s">
        <v>763</v>
      </c>
      <c r="P229" s="13" t="s">
        <v>763</v>
      </c>
    </row>
    <row r="230" spans="1:16" ht="258.39999999999998">
      <c r="A230" s="3" t="s">
        <v>764</v>
      </c>
      <c r="B230" s="2" t="str">
        <f>TRIM(Table1[[#This Row],[Chat Name]])</f>
        <v>Dominate Person</v>
      </c>
      <c r="C230" s="2">
        <v>7</v>
      </c>
      <c r="D230" s="2">
        <v>36</v>
      </c>
      <c r="E230" s="2" t="s">
        <v>73</v>
      </c>
      <c r="F230" s="6" t="b">
        <v>0</v>
      </c>
      <c r="G230" s="6" t="b">
        <v>1</v>
      </c>
      <c r="H230" s="2" t="s">
        <v>34</v>
      </c>
      <c r="I230" s="2" t="b">
        <v>1</v>
      </c>
      <c r="J230" s="2" t="s">
        <v>272</v>
      </c>
      <c r="K230" s="2" t="s">
        <v>56</v>
      </c>
      <c r="L230" s="2" t="b">
        <v>0</v>
      </c>
      <c r="M230" s="2" t="s">
        <v>765</v>
      </c>
      <c r="N230" s="2" t="s">
        <v>766</v>
      </c>
      <c r="O230" s="2" t="s">
        <v>767</v>
      </c>
      <c r="P230" s="13" t="s">
        <v>767</v>
      </c>
    </row>
    <row r="231" spans="1:16" ht="159.94999999999999">
      <c r="A231" s="3" t="s">
        <v>768</v>
      </c>
      <c r="B231" s="2" t="str">
        <f>TRIM(Table1[[#This Row],[Chat Name]])</f>
        <v>Draconic Transformation</v>
      </c>
      <c r="C231" s="2">
        <v>9</v>
      </c>
      <c r="D231" s="2">
        <v>54</v>
      </c>
      <c r="E231" s="2" t="s">
        <v>244</v>
      </c>
      <c r="F231" s="6" t="b">
        <v>1</v>
      </c>
      <c r="G231" s="6" t="b">
        <v>0</v>
      </c>
      <c r="H231" s="2" t="s">
        <v>31</v>
      </c>
      <c r="I231" s="2" t="b">
        <v>1</v>
      </c>
      <c r="J231" s="2" t="s">
        <v>272</v>
      </c>
      <c r="K231" s="2" t="s">
        <v>59</v>
      </c>
      <c r="L231" s="2" t="b">
        <v>0</v>
      </c>
      <c r="M231" s="2" t="s">
        <v>769</v>
      </c>
      <c r="N231" s="2" t="s">
        <v>770</v>
      </c>
      <c r="O231" s="2"/>
    </row>
    <row r="232" spans="1:16" ht="86.1">
      <c r="A232" s="3" t="s">
        <v>771</v>
      </c>
      <c r="B232" s="2" t="str">
        <f>TRIM(Table1[[#This Row],[Chat Name]])</f>
        <v>Dragon's Breath</v>
      </c>
      <c r="C232" s="2">
        <v>2</v>
      </c>
      <c r="D232" s="2">
        <v>6</v>
      </c>
      <c r="E232" s="2" t="s">
        <v>153</v>
      </c>
      <c r="F232" s="6" t="b">
        <v>1</v>
      </c>
      <c r="G232" s="6" t="b">
        <v>0</v>
      </c>
      <c r="H232" s="2" t="s">
        <v>31</v>
      </c>
      <c r="I232" s="2" t="b">
        <v>1</v>
      </c>
      <c r="J232" s="2" t="s">
        <v>272</v>
      </c>
      <c r="K232" s="2" t="s">
        <v>110</v>
      </c>
      <c r="L232" s="2" t="b">
        <v>0</v>
      </c>
      <c r="M232" s="2" t="s">
        <v>772</v>
      </c>
      <c r="N232" s="2" t="s">
        <v>773</v>
      </c>
      <c r="O232" s="2" t="s">
        <v>774</v>
      </c>
      <c r="P232" s="13" t="s">
        <v>774</v>
      </c>
    </row>
    <row r="233" spans="1:16" ht="61.5">
      <c r="A233" s="3"/>
      <c r="B233" s="2" t="str">
        <f>TRIM(Table1[[#This Row],[Chat Name]])</f>
        <v/>
      </c>
      <c r="C233" s="2">
        <v>1</v>
      </c>
      <c r="D233" s="2">
        <v>3</v>
      </c>
      <c r="E233" s="2" t="s">
        <v>17</v>
      </c>
      <c r="F233" s="6" t="b">
        <v>0</v>
      </c>
      <c r="G233" s="6" t="b">
        <v>1</v>
      </c>
      <c r="H233" s="2" t="s">
        <v>34</v>
      </c>
      <c r="I233" s="2" t="b">
        <v>0</v>
      </c>
      <c r="J233" s="2" t="s">
        <v>19</v>
      </c>
      <c r="K233" s="2" t="s">
        <v>775</v>
      </c>
      <c r="L233" s="2" t="b">
        <v>0</v>
      </c>
      <c r="M233" s="2"/>
      <c r="N233" s="2" t="s">
        <v>776</v>
      </c>
      <c r="O233" s="2" t="s">
        <v>777</v>
      </c>
      <c r="P233" s="13" t="s">
        <v>777</v>
      </c>
    </row>
    <row r="234" spans="1:16" ht="87">
      <c r="A234" s="3" t="s">
        <v>778</v>
      </c>
      <c r="B234" s="2" t="str">
        <f>TRIM(Table1[[#This Row],[Chat Name]])</f>
        <v>Toll the Dead</v>
      </c>
      <c r="C234" s="2">
        <v>0</v>
      </c>
      <c r="D234" s="2">
        <v>0</v>
      </c>
      <c r="E234" s="2" t="s">
        <v>17</v>
      </c>
      <c r="F234" s="6" t="b">
        <v>0</v>
      </c>
      <c r="G234" s="6" t="b">
        <v>1</v>
      </c>
      <c r="H234" s="2" t="s">
        <v>34</v>
      </c>
      <c r="I234" s="2" t="b">
        <v>0</v>
      </c>
      <c r="J234" s="2" t="s">
        <v>19</v>
      </c>
      <c r="K234" s="2" t="s">
        <v>56</v>
      </c>
      <c r="L234" s="2" t="b">
        <v>0</v>
      </c>
      <c r="M234" s="2" t="s">
        <v>779</v>
      </c>
      <c r="N234" s="2" t="s">
        <v>780</v>
      </c>
      <c r="O234" s="2"/>
    </row>
    <row r="235" spans="1:16" ht="344.45">
      <c r="A235" s="3" t="s">
        <v>781</v>
      </c>
      <c r="B235" s="2" t="str">
        <f>TRIM(Table1[[#This Row],[Chat Name]])</f>
        <v>Dream</v>
      </c>
      <c r="C235" s="2">
        <v>6</v>
      </c>
      <c r="D235" s="2">
        <v>27</v>
      </c>
      <c r="E235" s="2" t="s">
        <v>244</v>
      </c>
      <c r="F235" s="6" t="b">
        <v>1</v>
      </c>
      <c r="G235" s="6" t="b">
        <v>0</v>
      </c>
      <c r="H235" s="2" t="s">
        <v>39</v>
      </c>
      <c r="I235" s="2" t="b">
        <v>0</v>
      </c>
      <c r="J235" s="2" t="s">
        <v>40</v>
      </c>
      <c r="K235" s="2" t="s">
        <v>621</v>
      </c>
      <c r="L235" s="2" t="b">
        <v>0</v>
      </c>
      <c r="M235" s="2" t="s">
        <v>782</v>
      </c>
      <c r="N235" s="2" t="s">
        <v>783</v>
      </c>
      <c r="O235" s="2"/>
    </row>
    <row r="236" spans="1:16" ht="233.65">
      <c r="A236" s="3" t="s">
        <v>784</v>
      </c>
      <c r="B236" s="2" t="str">
        <f>TRIM(Table1[[#This Row],[Chat Name]])</f>
        <v>Dream of the Blue Veil</v>
      </c>
      <c r="C236" s="2">
        <v>9</v>
      </c>
      <c r="D236" s="2">
        <v>54</v>
      </c>
      <c r="E236" s="2" t="s">
        <v>96</v>
      </c>
      <c r="F236" s="6" t="b">
        <v>0</v>
      </c>
      <c r="G236" s="6" t="b">
        <v>1</v>
      </c>
      <c r="H236" s="2" t="s">
        <v>18</v>
      </c>
      <c r="I236" s="2" t="b">
        <v>0</v>
      </c>
      <c r="J236" s="2" t="s">
        <v>785</v>
      </c>
      <c r="K236" s="2" t="s">
        <v>786</v>
      </c>
      <c r="L236" s="2" t="b">
        <v>0</v>
      </c>
      <c r="M236" s="2" t="s">
        <v>787</v>
      </c>
      <c r="N236" s="2" t="s">
        <v>788</v>
      </c>
      <c r="O236" s="2"/>
    </row>
    <row r="237" spans="1:16" ht="172.15">
      <c r="A237" s="3" t="s">
        <v>789</v>
      </c>
      <c r="B237" s="2" t="str">
        <f>TRIM(Table1[[#This Row],[Chat Name]])</f>
        <v>Leomund's Secret Chest</v>
      </c>
      <c r="C237" s="2">
        <v>6</v>
      </c>
      <c r="D237" s="2">
        <v>27</v>
      </c>
      <c r="E237" s="2" t="s">
        <v>244</v>
      </c>
      <c r="F237" s="6" t="b">
        <v>1</v>
      </c>
      <c r="G237" s="6" t="b">
        <v>0</v>
      </c>
      <c r="H237" s="2" t="s">
        <v>34</v>
      </c>
      <c r="I237" s="2" t="b">
        <v>0</v>
      </c>
      <c r="J237" s="2" t="s">
        <v>19</v>
      </c>
      <c r="K237" s="2" t="s">
        <v>110</v>
      </c>
      <c r="L237" s="2" t="b">
        <v>0</v>
      </c>
      <c r="M237" s="2" t="s">
        <v>790</v>
      </c>
      <c r="N237" s="2" t="s">
        <v>791</v>
      </c>
      <c r="O237" s="2"/>
    </row>
    <row r="238" spans="1:16" ht="147.6">
      <c r="A238" s="3" t="s">
        <v>792</v>
      </c>
      <c r="B238" s="2" t="str">
        <f>TRIM(Table1[[#This Row],[Chat Name]])</f>
        <v>Dusk Shield</v>
      </c>
      <c r="C238" s="2">
        <v>2</v>
      </c>
      <c r="D238" s="2">
        <v>6</v>
      </c>
      <c r="E238" s="2" t="s">
        <v>23</v>
      </c>
      <c r="F238" s="7" t="b">
        <v>1</v>
      </c>
      <c r="G238" s="7" t="b">
        <v>0</v>
      </c>
      <c r="H238" s="2" t="s">
        <v>34</v>
      </c>
      <c r="I238" s="2" t="b">
        <v>0</v>
      </c>
      <c r="J238" s="2" t="s">
        <v>19</v>
      </c>
      <c r="K238" s="2" t="s">
        <v>319</v>
      </c>
      <c r="L238" s="2" t="b">
        <v>0</v>
      </c>
      <c r="M238" s="2"/>
      <c r="N238" s="12" t="s">
        <v>793</v>
      </c>
      <c r="O238" s="2" t="s">
        <v>794</v>
      </c>
      <c r="P238" s="13" t="s">
        <v>794</v>
      </c>
    </row>
    <row r="239" spans="1:16" ht="159.94999999999999">
      <c r="A239" s="3" t="s">
        <v>795</v>
      </c>
      <c r="B239" s="2" t="str">
        <f>TRIM(Table1[[#This Row],[Chat Name]])</f>
        <v>Dust Devil</v>
      </c>
      <c r="C239" s="2">
        <v>2</v>
      </c>
      <c r="D239" s="2">
        <v>6</v>
      </c>
      <c r="E239" s="2" t="s">
        <v>244</v>
      </c>
      <c r="F239" s="6" t="b">
        <v>1</v>
      </c>
      <c r="G239" s="6" t="b">
        <v>0</v>
      </c>
      <c r="H239" s="2" t="s">
        <v>34</v>
      </c>
      <c r="I239" s="2" t="b">
        <v>1</v>
      </c>
      <c r="J239" s="2" t="s">
        <v>272</v>
      </c>
      <c r="K239" s="2" t="s">
        <v>56</v>
      </c>
      <c r="L239" s="2" t="b">
        <v>0</v>
      </c>
      <c r="M239" s="2" t="s">
        <v>796</v>
      </c>
      <c r="N239" s="2" t="s">
        <v>797</v>
      </c>
      <c r="O239" s="2" t="s">
        <v>798</v>
      </c>
      <c r="P239" s="13" t="s">
        <v>798</v>
      </c>
    </row>
    <row r="240" spans="1:16" ht="73.900000000000006">
      <c r="A240" s="3" t="s">
        <v>799</v>
      </c>
      <c r="B240" s="2" t="str">
        <f>TRIM(Table1[[#This Row],[Chat Name]])</f>
        <v>Earth Tremor</v>
      </c>
      <c r="C240" s="2">
        <v>1</v>
      </c>
      <c r="D240" s="2">
        <v>3</v>
      </c>
      <c r="E240" s="2" t="s">
        <v>153</v>
      </c>
      <c r="F240" s="6" t="b">
        <v>1</v>
      </c>
      <c r="G240" s="6" t="b">
        <v>0</v>
      </c>
      <c r="H240" s="2" t="s">
        <v>34</v>
      </c>
      <c r="I240" s="2" t="b">
        <v>0</v>
      </c>
      <c r="J240" s="2" t="s">
        <v>19</v>
      </c>
      <c r="K240" s="2" t="s">
        <v>132</v>
      </c>
      <c r="L240" s="2" t="b">
        <v>0</v>
      </c>
      <c r="M240" s="2" t="s">
        <v>800</v>
      </c>
      <c r="N240" s="2" t="s">
        <v>801</v>
      </c>
      <c r="O240" s="2" t="s">
        <v>435</v>
      </c>
      <c r="P240" s="13" t="s">
        <v>435</v>
      </c>
    </row>
    <row r="241" spans="1:16" ht="73.900000000000006">
      <c r="A241" s="3" t="s">
        <v>802</v>
      </c>
      <c r="B241" s="2" t="str">
        <f>TRIM(Table1[[#This Row],[Chat Name]])</f>
        <v>Earthbind</v>
      </c>
      <c r="C241" s="2">
        <v>3</v>
      </c>
      <c r="D241" s="2">
        <v>9</v>
      </c>
      <c r="E241" s="2" t="s">
        <v>244</v>
      </c>
      <c r="F241" s="6" t="b">
        <v>1</v>
      </c>
      <c r="G241" s="6" t="b">
        <v>0</v>
      </c>
      <c r="H241" s="2" t="s">
        <v>34</v>
      </c>
      <c r="I241" s="2" t="b">
        <v>1</v>
      </c>
      <c r="J241" s="2" t="s">
        <v>272</v>
      </c>
      <c r="K241" s="2" t="s">
        <v>102</v>
      </c>
      <c r="L241" s="2" t="b">
        <v>0</v>
      </c>
      <c r="M241" s="2" t="s">
        <v>803</v>
      </c>
      <c r="N241" s="2" t="s">
        <v>804</v>
      </c>
      <c r="O241" s="2"/>
    </row>
    <row r="242" spans="1:16" ht="196.9">
      <c r="A242" s="3" t="s">
        <v>805</v>
      </c>
      <c r="B242" s="2" t="str">
        <f>TRIM(Table1[[#This Row],[Chat Name]])</f>
        <v>Maximilian's Earthen Grasp</v>
      </c>
      <c r="C242" s="2">
        <v>2</v>
      </c>
      <c r="D242" s="2">
        <v>6</v>
      </c>
      <c r="E242" s="2" t="s">
        <v>244</v>
      </c>
      <c r="F242" s="6" t="b">
        <v>1</v>
      </c>
      <c r="G242" s="6" t="b">
        <v>0</v>
      </c>
      <c r="H242" s="2" t="s">
        <v>34</v>
      </c>
      <c r="I242" s="2" t="b">
        <v>1</v>
      </c>
      <c r="J242" s="2" t="s">
        <v>272</v>
      </c>
      <c r="K242" s="2" t="s">
        <v>52</v>
      </c>
      <c r="L242" s="2" t="b">
        <v>0</v>
      </c>
      <c r="M242" s="2" t="s">
        <v>806</v>
      </c>
      <c r="N242" s="2" t="s">
        <v>807</v>
      </c>
      <c r="O242" s="2"/>
    </row>
    <row r="243" spans="1:16" ht="409.5">
      <c r="A243" s="3" t="s">
        <v>808</v>
      </c>
      <c r="B243" s="2" t="str">
        <f>TRIM(Table1[[#This Row],[Chat Name]])</f>
        <v>Earthquake</v>
      </c>
      <c r="C243" s="2">
        <v>10</v>
      </c>
      <c r="D243" s="2">
        <v>66</v>
      </c>
      <c r="E243" s="2" t="s">
        <v>153</v>
      </c>
      <c r="F243" s="6" t="b">
        <v>1</v>
      </c>
      <c r="G243" s="6" t="b">
        <v>0</v>
      </c>
      <c r="H243" s="2" t="s">
        <v>34</v>
      </c>
      <c r="I243" s="2" t="b">
        <v>1</v>
      </c>
      <c r="J243" s="2" t="s">
        <v>272</v>
      </c>
      <c r="K243" s="2" t="s">
        <v>302</v>
      </c>
      <c r="L243" s="2" t="b">
        <v>0</v>
      </c>
      <c r="M243" s="2" t="s">
        <v>809</v>
      </c>
      <c r="N243" s="2" t="s">
        <v>810</v>
      </c>
      <c r="O243" s="2"/>
    </row>
    <row r="244" spans="1:16" ht="49.15">
      <c r="A244" s="3"/>
      <c r="B244" s="2" t="str">
        <f>TRIM(Table1[[#This Row],[Chat Name]])</f>
        <v/>
      </c>
      <c r="C244" s="2">
        <v>0</v>
      </c>
      <c r="D244" s="2">
        <v>0</v>
      </c>
      <c r="E244" s="2" t="s">
        <v>17</v>
      </c>
      <c r="F244" s="6" t="b">
        <v>0</v>
      </c>
      <c r="G244" s="6" t="b">
        <v>1</v>
      </c>
      <c r="H244" s="2" t="s">
        <v>34</v>
      </c>
      <c r="I244" s="2" t="b">
        <v>0</v>
      </c>
      <c r="J244" s="2" t="s">
        <v>19</v>
      </c>
      <c r="K244" s="2" t="s">
        <v>52</v>
      </c>
      <c r="L244" s="2" t="b">
        <v>0</v>
      </c>
      <c r="M244" s="2"/>
      <c r="N244" s="2" t="s">
        <v>811</v>
      </c>
      <c r="O244" s="2"/>
    </row>
    <row r="245" spans="1:16" ht="98.45">
      <c r="A245" s="3" t="s">
        <v>812</v>
      </c>
      <c r="B245" s="2" t="str">
        <f>TRIM(Table1[[#This Row],[Chat Name]])</f>
        <v>Elemental Bane</v>
      </c>
      <c r="C245" s="2">
        <v>5</v>
      </c>
      <c r="D245" s="2">
        <v>21</v>
      </c>
      <c r="E245" s="2" t="s">
        <v>153</v>
      </c>
      <c r="F245" s="6" t="b">
        <v>1</v>
      </c>
      <c r="G245" s="6" t="b">
        <v>0</v>
      </c>
      <c r="H245" s="2" t="s">
        <v>34</v>
      </c>
      <c r="I245" s="2" t="b">
        <v>1</v>
      </c>
      <c r="J245" s="2" t="s">
        <v>272</v>
      </c>
      <c r="K245" s="2" t="s">
        <v>64</v>
      </c>
      <c r="L245" s="2" t="b">
        <v>0</v>
      </c>
      <c r="M245" s="2" t="s">
        <v>813</v>
      </c>
      <c r="N245" s="2" t="s">
        <v>814</v>
      </c>
      <c r="O245" s="2" t="s">
        <v>472</v>
      </c>
      <c r="P245" s="13" t="s">
        <v>472</v>
      </c>
    </row>
    <row r="246" spans="1:16" ht="100.9">
      <c r="A246" s="3" t="s">
        <v>815</v>
      </c>
      <c r="B246" s="2" t="str">
        <f>TRIM(Table1[[#This Row],[Chat Name]])</f>
        <v>Eldritch Blast</v>
      </c>
      <c r="C246" s="2">
        <v>0</v>
      </c>
      <c r="D246" s="2">
        <v>0</v>
      </c>
      <c r="E246" s="2" t="s">
        <v>153</v>
      </c>
      <c r="F246" s="6" t="b">
        <v>1</v>
      </c>
      <c r="G246" s="6" t="b">
        <v>0</v>
      </c>
      <c r="H246" s="2" t="s">
        <v>34</v>
      </c>
      <c r="I246" s="2" t="b">
        <v>0</v>
      </c>
      <c r="J246" s="2" t="s">
        <v>19</v>
      </c>
      <c r="K246" s="2" t="s">
        <v>160</v>
      </c>
      <c r="L246" s="2" t="b">
        <v>0</v>
      </c>
      <c r="M246" s="2" t="s">
        <v>816</v>
      </c>
      <c r="N246" s="2" t="s">
        <v>817</v>
      </c>
      <c r="O246" s="2" t="s">
        <v>818</v>
      </c>
      <c r="P246" s="13" t="s">
        <v>819</v>
      </c>
    </row>
    <row r="247" spans="1:16" ht="100.9">
      <c r="A247" s="3" t="s">
        <v>820</v>
      </c>
      <c r="B247" s="2" t="str">
        <f>TRIM(Table1[[#This Row],[Chat Name]])</f>
        <v>Elemental Weapon</v>
      </c>
      <c r="C247" s="2">
        <v>3</v>
      </c>
      <c r="D247" s="2">
        <v>9</v>
      </c>
      <c r="E247" s="2" t="s">
        <v>153</v>
      </c>
      <c r="F247" s="6" t="b">
        <v>1</v>
      </c>
      <c r="G247" s="6" t="b">
        <v>0</v>
      </c>
      <c r="H247" s="2" t="s">
        <v>34</v>
      </c>
      <c r="I247" s="2" t="b">
        <v>1</v>
      </c>
      <c r="J247" s="2" t="s">
        <v>245</v>
      </c>
      <c r="K247" s="2" t="s">
        <v>110</v>
      </c>
      <c r="L247" s="2" t="b">
        <v>0</v>
      </c>
      <c r="M247" s="2" t="s">
        <v>821</v>
      </c>
      <c r="N247" s="2" t="s">
        <v>821</v>
      </c>
      <c r="O247" s="2" t="s">
        <v>822</v>
      </c>
      <c r="P247" s="13" t="s">
        <v>822</v>
      </c>
    </row>
    <row r="248" spans="1:16" ht="147.6">
      <c r="A248" s="3"/>
      <c r="B248" s="2" t="str">
        <f>TRIM(Table1[[#This Row],[Chat Name]])</f>
        <v/>
      </c>
      <c r="C248" s="2">
        <v>0</v>
      </c>
      <c r="D248" s="2">
        <v>0</v>
      </c>
      <c r="E248" s="2" t="s">
        <v>30</v>
      </c>
      <c r="F248" s="6" t="b">
        <v>0</v>
      </c>
      <c r="G248" s="6" t="b">
        <v>1</v>
      </c>
      <c r="H248" s="2" t="s">
        <v>34</v>
      </c>
      <c r="I248" s="2" t="b">
        <v>0</v>
      </c>
      <c r="J248" s="2" t="s">
        <v>35</v>
      </c>
      <c r="K248" s="2" t="s">
        <v>110</v>
      </c>
      <c r="L248" s="2" t="b">
        <v>0</v>
      </c>
      <c r="M248" s="2"/>
      <c r="N248" s="2" t="s">
        <v>823</v>
      </c>
      <c r="O248" s="2" t="s">
        <v>824</v>
      </c>
      <c r="P248" s="13" t="s">
        <v>824</v>
      </c>
    </row>
    <row r="249" spans="1:16" ht="86.1">
      <c r="A249" s="3"/>
      <c r="B249" s="2" t="str">
        <f>TRIM(Table1[[#This Row],[Chat Name]])</f>
        <v/>
      </c>
      <c r="C249" s="2">
        <v>0</v>
      </c>
      <c r="D249" s="2">
        <v>0</v>
      </c>
      <c r="E249" s="2" t="s">
        <v>153</v>
      </c>
      <c r="F249" s="6" t="b">
        <v>1</v>
      </c>
      <c r="G249" s="6" t="b">
        <v>0</v>
      </c>
      <c r="H249" s="2" t="s">
        <v>34</v>
      </c>
      <c r="I249" s="2" t="b">
        <v>0</v>
      </c>
      <c r="J249" s="2" t="s">
        <v>19</v>
      </c>
      <c r="K249" s="2" t="s">
        <v>160</v>
      </c>
      <c r="L249" s="2" t="b">
        <v>0</v>
      </c>
      <c r="M249" s="2"/>
      <c r="N249" s="2" t="s">
        <v>825</v>
      </c>
      <c r="O249" s="2" t="s">
        <v>826</v>
      </c>
      <c r="P249" s="13" t="s">
        <v>826</v>
      </c>
    </row>
    <row r="250" spans="1:16" ht="172.15">
      <c r="A250" s="3" t="s">
        <v>827</v>
      </c>
      <c r="B250" s="2" t="str">
        <f>TRIM(Table1[[#This Row],[Chat Name]])</f>
        <v>Encode Thoughts</v>
      </c>
      <c r="C250" s="2">
        <v>0</v>
      </c>
      <c r="D250" s="2">
        <v>0</v>
      </c>
      <c r="E250" s="2" t="s">
        <v>73</v>
      </c>
      <c r="F250" s="6" t="b">
        <v>0</v>
      </c>
      <c r="G250" s="6" t="b">
        <v>1</v>
      </c>
      <c r="H250" s="2" t="s">
        <v>34</v>
      </c>
      <c r="I250" s="2" t="b">
        <v>0</v>
      </c>
      <c r="J250" s="2" t="s">
        <v>40</v>
      </c>
      <c r="K250" s="2" t="s">
        <v>59</v>
      </c>
      <c r="L250" s="2" t="b">
        <v>0</v>
      </c>
      <c r="M250" s="2" t="s">
        <v>828</v>
      </c>
      <c r="N250" s="2" t="s">
        <v>829</v>
      </c>
      <c r="O250" s="2"/>
    </row>
    <row r="251" spans="1:16" ht="49.15">
      <c r="A251" s="3"/>
      <c r="B251" s="2" t="str">
        <f>TRIM(Table1[[#This Row],[Chat Name]])</f>
        <v/>
      </c>
      <c r="C251" s="2">
        <v>0</v>
      </c>
      <c r="D251" s="2">
        <v>0</v>
      </c>
      <c r="E251" s="2" t="s">
        <v>30</v>
      </c>
      <c r="F251" s="6" t="b">
        <v>0</v>
      </c>
      <c r="G251" s="6" t="b">
        <v>1</v>
      </c>
      <c r="H251" s="2" t="s">
        <v>39</v>
      </c>
      <c r="I251" s="2" t="b">
        <v>0</v>
      </c>
      <c r="J251" s="2" t="s">
        <v>19</v>
      </c>
      <c r="K251" s="2" t="s">
        <v>110</v>
      </c>
      <c r="L251" s="2" t="b">
        <v>0</v>
      </c>
      <c r="M251" s="2"/>
      <c r="N251" s="2" t="s">
        <v>830</v>
      </c>
      <c r="O251" s="2"/>
    </row>
    <row r="252" spans="1:16" ht="159.94999999999999">
      <c r="A252" s="3" t="s">
        <v>831</v>
      </c>
      <c r="B252" s="2" t="str">
        <f>TRIM(Table1[[#This Row],[Chat Name]])</f>
        <v>Enemies Abound</v>
      </c>
      <c r="C252" s="2">
        <v>4</v>
      </c>
      <c r="D252" s="2">
        <v>15</v>
      </c>
      <c r="E252" s="2" t="s">
        <v>73</v>
      </c>
      <c r="F252" s="6" t="b">
        <v>0</v>
      </c>
      <c r="G252" s="6" t="b">
        <v>1</v>
      </c>
      <c r="H252" s="2" t="s">
        <v>34</v>
      </c>
      <c r="I252" s="2" t="b">
        <v>1</v>
      </c>
      <c r="J252" s="2" t="s">
        <v>272</v>
      </c>
      <c r="K252" s="2" t="s">
        <v>160</v>
      </c>
      <c r="L252" s="2" t="b">
        <v>0</v>
      </c>
      <c r="M252" s="2" t="s">
        <v>832</v>
      </c>
      <c r="N252" s="2" t="s">
        <v>833</v>
      </c>
      <c r="O252" s="2"/>
    </row>
    <row r="253" spans="1:16" ht="147.6">
      <c r="A253" s="3" t="s">
        <v>834</v>
      </c>
      <c r="B253" s="2" t="str">
        <f>TRIM(Table1[[#This Row],[Chat Name]])</f>
        <v>Enervation</v>
      </c>
      <c r="C253" s="2">
        <v>6</v>
      </c>
      <c r="D253" s="2">
        <v>27</v>
      </c>
      <c r="E253" s="2" t="s">
        <v>17</v>
      </c>
      <c r="F253" s="6" t="b">
        <v>0</v>
      </c>
      <c r="G253" s="6" t="b">
        <v>1</v>
      </c>
      <c r="H253" s="2" t="s">
        <v>34</v>
      </c>
      <c r="I253" s="2" t="b">
        <v>1</v>
      </c>
      <c r="J253" s="2" t="s">
        <v>272</v>
      </c>
      <c r="K253" s="2" t="s">
        <v>56</v>
      </c>
      <c r="L253" s="2" t="b">
        <v>0</v>
      </c>
      <c r="M253" s="2" t="s">
        <v>835</v>
      </c>
      <c r="N253" s="2" t="s">
        <v>836</v>
      </c>
      <c r="O253" s="2" t="s">
        <v>498</v>
      </c>
      <c r="P253" s="13" t="s">
        <v>498</v>
      </c>
    </row>
    <row r="254" spans="1:16" ht="184.5">
      <c r="A254" s="3" t="s">
        <v>837</v>
      </c>
      <c r="B254" s="2" t="str">
        <f>TRIM(Table1[[#This Row],[Chat Name]])</f>
        <v>Enhance Ability</v>
      </c>
      <c r="C254" s="2">
        <v>2</v>
      </c>
      <c r="D254" s="2">
        <v>6</v>
      </c>
      <c r="E254" s="2" t="s">
        <v>244</v>
      </c>
      <c r="F254" s="6" t="b">
        <v>1</v>
      </c>
      <c r="G254" s="6" t="b">
        <v>0</v>
      </c>
      <c r="H254" s="2" t="s">
        <v>34</v>
      </c>
      <c r="I254" s="2" t="b">
        <v>1</v>
      </c>
      <c r="J254" s="2" t="s">
        <v>245</v>
      </c>
      <c r="K254" s="2" t="s">
        <v>110</v>
      </c>
      <c r="L254" s="2" t="b">
        <v>0</v>
      </c>
      <c r="M254" s="2" t="s">
        <v>838</v>
      </c>
      <c r="N254" s="2" t="s">
        <v>839</v>
      </c>
      <c r="O254" s="2"/>
    </row>
    <row r="255" spans="1:16" ht="49.15">
      <c r="A255" s="3" t="s">
        <v>840</v>
      </c>
      <c r="B255" s="2" t="str">
        <f>TRIM(Table1[[#This Row],[Chat Name]])</f>
        <v>Enhanced Wisdom</v>
      </c>
      <c r="C255" s="2">
        <v>2</v>
      </c>
      <c r="D255" s="2">
        <v>6</v>
      </c>
      <c r="E255" s="2" t="s">
        <v>80</v>
      </c>
      <c r="F255" s="7" t="b">
        <v>1</v>
      </c>
      <c r="G255" s="7" t="b">
        <v>0</v>
      </c>
      <c r="H255" s="2" t="s">
        <v>34</v>
      </c>
      <c r="I255" s="2" t="b">
        <v>1</v>
      </c>
      <c r="J255" s="2" t="s">
        <v>18</v>
      </c>
      <c r="K255" s="2" t="s">
        <v>26</v>
      </c>
      <c r="L255" s="2" t="b">
        <v>1</v>
      </c>
      <c r="M255" s="2"/>
      <c r="N255" s="2" t="s">
        <v>841</v>
      </c>
      <c r="O255" s="2" t="s">
        <v>842</v>
      </c>
      <c r="P255" s="13" t="s">
        <v>842</v>
      </c>
    </row>
    <row r="256" spans="1:16" ht="295.14999999999998">
      <c r="A256" s="3" t="s">
        <v>843</v>
      </c>
      <c r="B256" s="2" t="str">
        <f>TRIM(Table1[[#This Row],[Chat Name]])</f>
        <v>Enlarge/Reduce</v>
      </c>
      <c r="C256" s="2">
        <v>2</v>
      </c>
      <c r="D256" s="2">
        <v>6</v>
      </c>
      <c r="E256" s="2" t="s">
        <v>244</v>
      </c>
      <c r="F256" s="6" t="b">
        <v>1</v>
      </c>
      <c r="G256" s="6" t="b">
        <v>0</v>
      </c>
      <c r="H256" s="2" t="s">
        <v>34</v>
      </c>
      <c r="I256" s="2" t="b">
        <v>1</v>
      </c>
      <c r="J256" s="2" t="s">
        <v>272</v>
      </c>
      <c r="K256" s="2" t="s">
        <v>52</v>
      </c>
      <c r="L256" s="2" t="b">
        <v>0</v>
      </c>
      <c r="M256" s="2" t="s">
        <v>844</v>
      </c>
      <c r="N256" s="2" t="s">
        <v>845</v>
      </c>
      <c r="O256" s="2"/>
    </row>
    <row r="257" spans="1:16" ht="135.4">
      <c r="A257" s="3" t="s">
        <v>846</v>
      </c>
      <c r="B257" s="2" t="str">
        <f>TRIM(Table1[[#This Row],[Chat Name]])</f>
        <v>Ensnaring Strike</v>
      </c>
      <c r="C257" s="2">
        <v>1</v>
      </c>
      <c r="D257" s="2">
        <v>3</v>
      </c>
      <c r="E257" s="2" t="s">
        <v>244</v>
      </c>
      <c r="F257" s="6" t="b">
        <v>1</v>
      </c>
      <c r="G257" s="6" t="b">
        <v>0</v>
      </c>
      <c r="H257" s="2" t="s">
        <v>31</v>
      </c>
      <c r="I257" s="2" t="b">
        <v>1</v>
      </c>
      <c r="J257" s="2" t="s">
        <v>272</v>
      </c>
      <c r="K257" s="2" t="s">
        <v>59</v>
      </c>
      <c r="L257" s="2" t="b">
        <v>0</v>
      </c>
      <c r="M257" s="2" t="s">
        <v>847</v>
      </c>
      <c r="N257" s="2" t="s">
        <v>848</v>
      </c>
      <c r="O257" s="2" t="s">
        <v>849</v>
      </c>
      <c r="P257" s="13" t="s">
        <v>850</v>
      </c>
    </row>
    <row r="258" spans="1:16" ht="110.65">
      <c r="A258" s="3" t="s">
        <v>851</v>
      </c>
      <c r="B258" s="2" t="str">
        <f>TRIM(Table1[[#This Row],[Chat Name]])</f>
        <v>Entangle</v>
      </c>
      <c r="C258" s="2">
        <v>1</v>
      </c>
      <c r="D258" s="2">
        <v>3</v>
      </c>
      <c r="E258" s="2" t="s">
        <v>244</v>
      </c>
      <c r="F258" s="6" t="b">
        <v>1</v>
      </c>
      <c r="G258" s="6" t="b">
        <v>0</v>
      </c>
      <c r="H258" s="2" t="s">
        <v>34</v>
      </c>
      <c r="I258" s="2" t="b">
        <v>1</v>
      </c>
      <c r="J258" s="2" t="s">
        <v>272</v>
      </c>
      <c r="K258" s="2" t="s">
        <v>64</v>
      </c>
      <c r="L258" s="2" t="b">
        <v>0</v>
      </c>
      <c r="M258" s="2" t="s">
        <v>852</v>
      </c>
      <c r="N258" s="2" t="s">
        <v>853</v>
      </c>
      <c r="O258" s="2"/>
    </row>
    <row r="259" spans="1:16" ht="123">
      <c r="A259" s="3" t="s">
        <v>854</v>
      </c>
      <c r="B259" s="2" t="str">
        <f>TRIM(Table1[[#This Row],[Chat Name]])</f>
        <v>Enthrall</v>
      </c>
      <c r="C259" s="2">
        <v>2</v>
      </c>
      <c r="D259" s="2">
        <v>6</v>
      </c>
      <c r="E259" s="2" t="s">
        <v>73</v>
      </c>
      <c r="F259" s="6" t="b">
        <v>0</v>
      </c>
      <c r="G259" s="6" t="b">
        <v>1</v>
      </c>
      <c r="H259" s="2" t="s">
        <v>34</v>
      </c>
      <c r="I259" s="2" t="b">
        <v>0</v>
      </c>
      <c r="J259" s="2" t="s">
        <v>39</v>
      </c>
      <c r="K259" s="2" t="s">
        <v>56</v>
      </c>
      <c r="L259" s="2" t="b">
        <v>0</v>
      </c>
      <c r="M259" s="2" t="s">
        <v>855</v>
      </c>
      <c r="N259" s="2" t="s">
        <v>856</v>
      </c>
      <c r="O259" s="2"/>
    </row>
    <row r="260" spans="1:16" ht="98.45">
      <c r="A260" s="3" t="s">
        <v>857</v>
      </c>
      <c r="B260" s="2" t="str">
        <f>TRIM(Table1[[#This Row],[Chat Name]])</f>
        <v>Erupting Earth</v>
      </c>
      <c r="C260" s="2">
        <v>4</v>
      </c>
      <c r="D260" s="2">
        <v>15</v>
      </c>
      <c r="E260" s="2" t="s">
        <v>244</v>
      </c>
      <c r="F260" s="6" t="b">
        <v>1</v>
      </c>
      <c r="G260" s="6" t="b">
        <v>0</v>
      </c>
      <c r="H260" s="2" t="s">
        <v>34</v>
      </c>
      <c r="I260" s="2" t="b">
        <v>0</v>
      </c>
      <c r="J260" s="2" t="s">
        <v>19</v>
      </c>
      <c r="K260" s="2" t="s">
        <v>160</v>
      </c>
      <c r="L260" s="2" t="b">
        <v>0</v>
      </c>
      <c r="M260" s="2" t="s">
        <v>858</v>
      </c>
      <c r="N260" s="2" t="s">
        <v>859</v>
      </c>
      <c r="O260" s="2" t="s">
        <v>860</v>
      </c>
      <c r="P260" s="13" t="s">
        <v>860</v>
      </c>
    </row>
    <row r="261" spans="1:16" ht="233.65">
      <c r="A261" s="3"/>
      <c r="B261" s="2" t="str">
        <f>TRIM(Table1[[#This Row],[Chat Name]])</f>
        <v/>
      </c>
      <c r="C261" s="2">
        <v>2</v>
      </c>
      <c r="D261" s="2">
        <v>6</v>
      </c>
      <c r="E261" s="2" t="s">
        <v>73</v>
      </c>
      <c r="F261" s="6" t="b">
        <v>0</v>
      </c>
      <c r="G261" s="6" t="b">
        <v>1</v>
      </c>
      <c r="H261" s="2" t="s">
        <v>34</v>
      </c>
      <c r="I261" s="2" t="b">
        <v>0</v>
      </c>
      <c r="J261" s="2" t="s">
        <v>39</v>
      </c>
      <c r="K261" s="2" t="s">
        <v>786</v>
      </c>
      <c r="L261" s="2" t="b">
        <v>0</v>
      </c>
      <c r="M261" s="2"/>
      <c r="N261" s="2" t="s">
        <v>740</v>
      </c>
      <c r="O261" s="2" t="s">
        <v>861</v>
      </c>
      <c r="P261" s="13" t="s">
        <v>861</v>
      </c>
    </row>
    <row r="262" spans="1:16" ht="172.15">
      <c r="A262" s="3" t="s">
        <v>862</v>
      </c>
      <c r="B262" s="2" t="str">
        <f>TRIM(Table1[[#This Row],[Chat Name]])</f>
        <v>Execution</v>
      </c>
      <c r="C262" s="2">
        <v>12</v>
      </c>
      <c r="D262" s="2">
        <v>90</v>
      </c>
      <c r="E262" s="2" t="s">
        <v>17</v>
      </c>
      <c r="F262" s="7" t="b">
        <v>0</v>
      </c>
      <c r="G262" s="7" t="b">
        <v>1</v>
      </c>
      <c r="H262" s="2" t="s">
        <v>44</v>
      </c>
      <c r="I262" s="2" t="b">
        <v>1</v>
      </c>
      <c r="J262" s="2" t="s">
        <v>144</v>
      </c>
      <c r="K262" s="2" t="s">
        <v>863</v>
      </c>
      <c r="L262" s="2" t="b">
        <v>0</v>
      </c>
      <c r="M262" s="2"/>
      <c r="N262" s="2" t="s">
        <v>864</v>
      </c>
      <c r="O262" s="2"/>
    </row>
    <row r="263" spans="1:16" ht="135.4">
      <c r="A263" s="3" t="s">
        <v>865</v>
      </c>
      <c r="B263" s="2" t="str">
        <f>TRIM(Table1[[#This Row],[Chat Name]])</f>
        <v>Clairvoyance</v>
      </c>
      <c r="C263" s="2">
        <v>5</v>
      </c>
      <c r="D263" s="2">
        <v>21</v>
      </c>
      <c r="E263" s="2" t="s">
        <v>73</v>
      </c>
      <c r="F263" s="6" t="b">
        <v>0</v>
      </c>
      <c r="G263" s="6" t="b">
        <v>1</v>
      </c>
      <c r="H263" s="2" t="s">
        <v>18</v>
      </c>
      <c r="I263" s="2" t="b">
        <v>1</v>
      </c>
      <c r="J263" s="2" t="s">
        <v>301</v>
      </c>
      <c r="K263" s="2" t="s">
        <v>866</v>
      </c>
      <c r="L263" s="2" t="b">
        <v>0</v>
      </c>
      <c r="M263" s="2" t="s">
        <v>867</v>
      </c>
      <c r="N263" s="2" t="s">
        <v>868</v>
      </c>
      <c r="O263" s="2"/>
    </row>
    <row r="264" spans="1:16" ht="36.950000000000003">
      <c r="A264" s="3" t="s">
        <v>869</v>
      </c>
      <c r="B264" s="2" t="str">
        <f>TRIM(Table1[[#This Row],[Chat Name]])</f>
        <v>Expeditious Retreat</v>
      </c>
      <c r="C264" s="2">
        <v>1</v>
      </c>
      <c r="D264" s="2">
        <v>3</v>
      </c>
      <c r="E264" s="2" t="s">
        <v>244</v>
      </c>
      <c r="F264" s="6" t="b">
        <v>1</v>
      </c>
      <c r="G264" s="6" t="b">
        <v>0</v>
      </c>
      <c r="H264" s="2" t="s">
        <v>31</v>
      </c>
      <c r="I264" s="2" t="b">
        <v>1</v>
      </c>
      <c r="J264" s="2" t="s">
        <v>301</v>
      </c>
      <c r="K264" s="2" t="s">
        <v>59</v>
      </c>
      <c r="L264" s="2" t="b">
        <v>0</v>
      </c>
      <c r="M264" s="2" t="s">
        <v>870</v>
      </c>
      <c r="N264" s="2" t="s">
        <v>871</v>
      </c>
      <c r="O264" s="2"/>
    </row>
    <row r="265" spans="1:16" ht="221.45">
      <c r="A265" s="3" t="s">
        <v>872</v>
      </c>
      <c r="B265" s="2" t="str">
        <f>TRIM(Table1[[#This Row],[Chat Name]])</f>
        <v>Eyebite</v>
      </c>
      <c r="C265" s="2">
        <v>7</v>
      </c>
      <c r="D265" s="2">
        <v>36</v>
      </c>
      <c r="E265" s="2" t="s">
        <v>23</v>
      </c>
      <c r="F265" s="6" t="b">
        <v>1</v>
      </c>
      <c r="G265" s="6" t="b">
        <v>0</v>
      </c>
      <c r="H265" s="2" t="s">
        <v>34</v>
      </c>
      <c r="I265" s="2" t="b">
        <v>1</v>
      </c>
      <c r="J265" s="2" t="s">
        <v>272</v>
      </c>
      <c r="K265" s="2" t="s">
        <v>59</v>
      </c>
      <c r="L265" s="2" t="b">
        <v>0</v>
      </c>
      <c r="M265" s="2" t="s">
        <v>873</v>
      </c>
      <c r="N265" s="2" t="s">
        <v>874</v>
      </c>
      <c r="O265" s="2"/>
    </row>
    <row r="266" spans="1:16" ht="196.9">
      <c r="A266" s="3" t="s">
        <v>875</v>
      </c>
      <c r="B266" s="2" t="str">
        <f>TRIM(Table1[[#This Row],[Chat Name]])</f>
        <v>Fabricate</v>
      </c>
      <c r="C266" s="2">
        <v>5</v>
      </c>
      <c r="D266" s="2">
        <v>21</v>
      </c>
      <c r="E266" s="2" t="s">
        <v>80</v>
      </c>
      <c r="F266" s="6" t="b">
        <v>1</v>
      </c>
      <c r="G266" s="6" t="b">
        <v>0</v>
      </c>
      <c r="H266" s="2" t="s">
        <v>18</v>
      </c>
      <c r="I266" s="2" t="b">
        <v>0</v>
      </c>
      <c r="J266" s="2" t="s">
        <v>19</v>
      </c>
      <c r="K266" s="2" t="s">
        <v>160</v>
      </c>
      <c r="L266" s="2" t="b">
        <v>0</v>
      </c>
      <c r="M266" s="2" t="s">
        <v>876</v>
      </c>
      <c r="N266" s="2" t="s">
        <v>877</v>
      </c>
      <c r="O266" s="2"/>
    </row>
    <row r="267" spans="1:16" ht="98.45">
      <c r="A267" s="3" t="s">
        <v>878</v>
      </c>
      <c r="B267" s="2" t="str">
        <f>TRIM(Table1[[#This Row],[Chat Name]])</f>
        <v>Faerie Fire</v>
      </c>
      <c r="C267" s="2">
        <v>1</v>
      </c>
      <c r="D267" s="2">
        <v>3</v>
      </c>
      <c r="E267" s="2" t="s">
        <v>244</v>
      </c>
      <c r="F267" s="6" t="b">
        <v>1</v>
      </c>
      <c r="G267" s="6" t="b">
        <v>0</v>
      </c>
      <c r="H267" s="2" t="s">
        <v>34</v>
      </c>
      <c r="I267" s="2" t="b">
        <v>1</v>
      </c>
      <c r="J267" s="2" t="s">
        <v>272</v>
      </c>
      <c r="K267" s="2" t="s">
        <v>56</v>
      </c>
      <c r="L267" s="2" t="b">
        <v>0</v>
      </c>
      <c r="M267" s="2" t="s">
        <v>879</v>
      </c>
      <c r="N267" s="2" t="s">
        <v>880</v>
      </c>
      <c r="O267" s="2"/>
    </row>
    <row r="268" spans="1:16" ht="57.6">
      <c r="A268" s="3" t="s">
        <v>881</v>
      </c>
      <c r="B268" s="2" t="str">
        <f>TRIM(Table1[[#This Row],[Chat Name]])</f>
        <v>False Life</v>
      </c>
      <c r="C268" s="2">
        <v>1</v>
      </c>
      <c r="D268" s="2">
        <v>3</v>
      </c>
      <c r="E268" s="2" t="s">
        <v>23</v>
      </c>
      <c r="F268" s="6" t="b">
        <v>1</v>
      </c>
      <c r="G268" s="6" t="b">
        <v>0</v>
      </c>
      <c r="H268" s="2" t="s">
        <v>34</v>
      </c>
      <c r="I268" s="2" t="b">
        <v>0</v>
      </c>
      <c r="J268" s="2" t="s">
        <v>35</v>
      </c>
      <c r="K268" s="2" t="s">
        <v>59</v>
      </c>
      <c r="L268" s="2" t="b">
        <v>0</v>
      </c>
      <c r="M268" s="2" t="s">
        <v>882</v>
      </c>
      <c r="N268" s="2" t="s">
        <v>882</v>
      </c>
      <c r="O268" s="2" t="s">
        <v>883</v>
      </c>
      <c r="P268" s="13" t="s">
        <v>883</v>
      </c>
    </row>
    <row r="269" spans="1:16" ht="36.950000000000003">
      <c r="A269" s="3" t="s">
        <v>884</v>
      </c>
      <c r="B269" s="2" t="str">
        <f>TRIM(Table1[[#This Row],[Chat Name]])</f>
        <v>Far Step</v>
      </c>
      <c r="C269" s="2">
        <v>6</v>
      </c>
      <c r="D269" s="2">
        <v>27</v>
      </c>
      <c r="E269" s="2" t="s">
        <v>30</v>
      </c>
      <c r="F269" s="6" t="b">
        <v>0</v>
      </c>
      <c r="G269" s="6" t="b">
        <v>1</v>
      </c>
      <c r="H269" s="2" t="s">
        <v>31</v>
      </c>
      <c r="I269" s="2" t="b">
        <v>1</v>
      </c>
      <c r="J269" s="2" t="s">
        <v>272</v>
      </c>
      <c r="K269" s="2" t="s">
        <v>59</v>
      </c>
      <c r="L269" s="2" t="b">
        <v>0</v>
      </c>
      <c r="M269" s="2" t="s">
        <v>885</v>
      </c>
      <c r="N269" s="2" t="s">
        <v>886</v>
      </c>
      <c r="O269" s="2"/>
    </row>
    <row r="270" spans="1:16" ht="196.9">
      <c r="A270" s="3" t="s">
        <v>887</v>
      </c>
      <c r="B270" s="2" t="str">
        <f>TRIM(Table1[[#This Row],[Chat Name]])</f>
        <v>Scrying</v>
      </c>
      <c r="C270" s="2">
        <v>7</v>
      </c>
      <c r="D270" s="2">
        <v>36</v>
      </c>
      <c r="E270" s="2" t="s">
        <v>73</v>
      </c>
      <c r="F270" s="6" t="b">
        <v>0</v>
      </c>
      <c r="G270" s="6" t="b">
        <v>1</v>
      </c>
      <c r="H270" s="2" t="s">
        <v>18</v>
      </c>
      <c r="I270" s="2" t="b">
        <v>1</v>
      </c>
      <c r="J270" s="2" t="s">
        <v>301</v>
      </c>
      <c r="K270" s="2" t="s">
        <v>59</v>
      </c>
      <c r="L270" s="2" t="b">
        <v>0</v>
      </c>
      <c r="M270" s="2" t="s">
        <v>888</v>
      </c>
      <c r="N270" s="2" t="s">
        <v>889</v>
      </c>
      <c r="O270" s="2"/>
    </row>
    <row r="271" spans="1:16" ht="184.5">
      <c r="A271" s="3" t="s">
        <v>890</v>
      </c>
      <c r="B271" s="2" t="str">
        <f>TRIM(Table1[[#This Row],[Chat Name]])</f>
        <v>Fast Friends</v>
      </c>
      <c r="C271" s="2">
        <v>4</v>
      </c>
      <c r="D271" s="2">
        <v>15</v>
      </c>
      <c r="E271" s="2" t="s">
        <v>73</v>
      </c>
      <c r="F271" s="6" t="b">
        <v>0</v>
      </c>
      <c r="G271" s="6" t="b">
        <v>1</v>
      </c>
      <c r="H271" s="2" t="s">
        <v>34</v>
      </c>
      <c r="I271" s="2" t="b">
        <v>1</v>
      </c>
      <c r="J271" s="2" t="s">
        <v>245</v>
      </c>
      <c r="K271" s="2" t="s">
        <v>52</v>
      </c>
      <c r="L271" s="2" t="b">
        <v>0</v>
      </c>
      <c r="M271" s="2" t="s">
        <v>891</v>
      </c>
      <c r="N271" s="2" t="s">
        <v>892</v>
      </c>
      <c r="O271" s="2" t="s">
        <v>893</v>
      </c>
      <c r="P271" s="13" t="s">
        <v>893</v>
      </c>
    </row>
    <row r="272" spans="1:16" ht="123">
      <c r="A272" s="3" t="s">
        <v>894</v>
      </c>
      <c r="B272" s="2" t="str">
        <f>TRIM(Table1[[#This Row],[Chat Name]])</f>
        <v>Fear</v>
      </c>
      <c r="C272" s="2">
        <v>4</v>
      </c>
      <c r="D272" s="2">
        <v>15</v>
      </c>
      <c r="E272" s="2" t="s">
        <v>73</v>
      </c>
      <c r="F272" s="6" t="b">
        <v>0</v>
      </c>
      <c r="G272" s="6" t="b">
        <v>1</v>
      </c>
      <c r="H272" s="2" t="s">
        <v>34</v>
      </c>
      <c r="I272" s="2" t="b">
        <v>1</v>
      </c>
      <c r="J272" s="2" t="s">
        <v>272</v>
      </c>
      <c r="K272" s="2" t="s">
        <v>48</v>
      </c>
      <c r="L272" s="2" t="b">
        <v>0</v>
      </c>
      <c r="M272" s="2" t="s">
        <v>895</v>
      </c>
      <c r="N272" s="2" t="s">
        <v>896</v>
      </c>
      <c r="O272" s="2"/>
    </row>
    <row r="273" spans="1:16" ht="61.5">
      <c r="A273" s="3" t="s">
        <v>897</v>
      </c>
      <c r="B273" s="2" t="str">
        <f>TRIM(Table1[[#This Row],[Chat Name]])</f>
        <v>Feather Fall</v>
      </c>
      <c r="C273" s="2">
        <v>1</v>
      </c>
      <c r="D273" s="2">
        <v>3</v>
      </c>
      <c r="E273" s="2" t="s">
        <v>244</v>
      </c>
      <c r="F273" s="6" t="b">
        <v>1</v>
      </c>
      <c r="G273" s="6" t="b">
        <v>0</v>
      </c>
      <c r="H273" s="2" t="s">
        <v>898</v>
      </c>
      <c r="I273" s="2" t="b">
        <v>0</v>
      </c>
      <c r="J273" s="2" t="s">
        <v>39</v>
      </c>
      <c r="K273" s="2" t="s">
        <v>56</v>
      </c>
      <c r="L273" s="2" t="b">
        <v>0</v>
      </c>
      <c r="M273" s="2" t="s">
        <v>899</v>
      </c>
      <c r="N273" s="2" t="s">
        <v>900</v>
      </c>
      <c r="O273" s="2"/>
    </row>
    <row r="274" spans="1:16" ht="135.4">
      <c r="A274" s="3" t="s">
        <v>901</v>
      </c>
      <c r="B274" s="2" t="str">
        <f>TRIM(Table1[[#This Row],[Chat Name]])</f>
        <v>Feeblemind</v>
      </c>
      <c r="C274" s="2">
        <v>10</v>
      </c>
      <c r="D274" s="2">
        <v>66</v>
      </c>
      <c r="E274" s="2" t="s">
        <v>73</v>
      </c>
      <c r="F274" s="6" t="b">
        <v>0</v>
      </c>
      <c r="G274" s="6" t="b">
        <v>1</v>
      </c>
      <c r="H274" s="2" t="s">
        <v>34</v>
      </c>
      <c r="I274" s="2" t="b">
        <v>0</v>
      </c>
      <c r="J274" s="2" t="s">
        <v>19</v>
      </c>
      <c r="K274" s="2" t="s">
        <v>460</v>
      </c>
      <c r="L274" s="2" t="b">
        <v>0</v>
      </c>
      <c r="M274" s="2" t="s">
        <v>902</v>
      </c>
      <c r="N274" s="2" t="s">
        <v>903</v>
      </c>
      <c r="O274" s="2"/>
    </row>
    <row r="275" spans="1:16" ht="123">
      <c r="A275" s="3" t="s">
        <v>904</v>
      </c>
      <c r="B275" s="2" t="str">
        <f>TRIM(Table1[[#This Row],[Chat Name]])</f>
        <v>Feign Death</v>
      </c>
      <c r="C275" s="2">
        <v>3</v>
      </c>
      <c r="D275" s="2">
        <v>9</v>
      </c>
      <c r="E275" s="2" t="s">
        <v>96</v>
      </c>
      <c r="F275" s="6" t="b">
        <v>0</v>
      </c>
      <c r="G275" s="6" t="b">
        <v>1</v>
      </c>
      <c r="H275" s="2" t="s">
        <v>34</v>
      </c>
      <c r="I275" s="2" t="b">
        <v>0</v>
      </c>
      <c r="J275" s="2" t="s">
        <v>35</v>
      </c>
      <c r="K275" s="2" t="s">
        <v>110</v>
      </c>
      <c r="L275" s="2" t="b">
        <v>1</v>
      </c>
      <c r="M275" s="2" t="s">
        <v>905</v>
      </c>
      <c r="N275" s="2" t="s">
        <v>906</v>
      </c>
      <c r="O275" s="2"/>
    </row>
    <row r="276" spans="1:16" ht="124.5">
      <c r="A276" s="3" t="s">
        <v>907</v>
      </c>
      <c r="B276" s="2" t="str">
        <f>TRIM(Table1[[#This Row],[Chat Name]])</f>
        <v>Spirit Shroud</v>
      </c>
      <c r="C276" s="2">
        <v>4</v>
      </c>
      <c r="D276" s="2">
        <v>15</v>
      </c>
      <c r="E276" s="2" t="s">
        <v>17</v>
      </c>
      <c r="F276" s="6" t="b">
        <v>0</v>
      </c>
      <c r="G276" s="6" t="b">
        <v>1</v>
      </c>
      <c r="H276" s="2" t="s">
        <v>31</v>
      </c>
      <c r="I276" s="2" t="b">
        <v>1</v>
      </c>
      <c r="J276" s="2" t="s">
        <v>272</v>
      </c>
      <c r="K276" s="2" t="s">
        <v>59</v>
      </c>
      <c r="L276" s="2" t="b">
        <v>0</v>
      </c>
      <c r="M276" s="2" t="s">
        <v>908</v>
      </c>
      <c r="N276" s="2" t="s">
        <v>909</v>
      </c>
      <c r="O276" s="2" t="s">
        <v>910</v>
      </c>
      <c r="P276" s="13" t="s">
        <v>910</v>
      </c>
    </row>
    <row r="277" spans="1:16" ht="381.4">
      <c r="A277" s="3" t="s">
        <v>911</v>
      </c>
      <c r="B277" s="2" t="str">
        <f>TRIM(Table1[[#This Row],[Chat Name]])</f>
        <v>Find Familiar</v>
      </c>
      <c r="C277" s="2">
        <v>1</v>
      </c>
      <c r="D277" s="2">
        <v>3</v>
      </c>
      <c r="E277" s="2" t="s">
        <v>244</v>
      </c>
      <c r="F277" s="6" t="b">
        <v>1</v>
      </c>
      <c r="G277" s="6" t="b">
        <v>0</v>
      </c>
      <c r="H277" s="2" t="s">
        <v>35</v>
      </c>
      <c r="I277" s="2" t="b">
        <v>0</v>
      </c>
      <c r="J277" s="2" t="s">
        <v>19</v>
      </c>
      <c r="K277" s="2" t="s">
        <v>132</v>
      </c>
      <c r="L277" s="2" t="b">
        <v>1</v>
      </c>
      <c r="M277" s="2" t="s">
        <v>912</v>
      </c>
      <c r="N277" s="2" t="s">
        <v>913</v>
      </c>
      <c r="O277" s="2"/>
    </row>
    <row r="278" spans="1:16" ht="258.39999999999998">
      <c r="A278" s="3" t="s">
        <v>914</v>
      </c>
      <c r="B278" s="2" t="str">
        <f>TRIM(Table1[[#This Row],[Chat Name]])</f>
        <v>Find Greater Steed</v>
      </c>
      <c r="C278" s="2">
        <v>5</v>
      </c>
      <c r="D278" s="2">
        <v>21</v>
      </c>
      <c r="E278" s="2" t="s">
        <v>244</v>
      </c>
      <c r="F278" s="6" t="b">
        <v>1</v>
      </c>
      <c r="G278" s="6" t="b">
        <v>0</v>
      </c>
      <c r="H278" s="2" t="s">
        <v>18</v>
      </c>
      <c r="I278" s="2" t="b">
        <v>0</v>
      </c>
      <c r="J278" s="2" t="s">
        <v>19</v>
      </c>
      <c r="K278" s="2" t="s">
        <v>52</v>
      </c>
      <c r="L278" s="2" t="b">
        <v>0</v>
      </c>
      <c r="M278" s="2" t="s">
        <v>915</v>
      </c>
      <c r="N278" s="2" t="s">
        <v>916</v>
      </c>
      <c r="O278" s="2"/>
    </row>
    <row r="279" spans="1:16" ht="282.95">
      <c r="A279" s="3" t="s">
        <v>917</v>
      </c>
      <c r="B279" s="2" t="str">
        <f>TRIM(Table1[[#This Row],[Chat Name]])</f>
        <v>Find Steed</v>
      </c>
      <c r="C279" s="2">
        <v>2</v>
      </c>
      <c r="D279" s="2">
        <v>6</v>
      </c>
      <c r="E279" s="2" t="s">
        <v>244</v>
      </c>
      <c r="F279" s="6" t="b">
        <v>1</v>
      </c>
      <c r="G279" s="6" t="b">
        <v>0</v>
      </c>
      <c r="H279" s="2" t="s">
        <v>18</v>
      </c>
      <c r="I279" s="2" t="b">
        <v>0</v>
      </c>
      <c r="J279" s="2" t="s">
        <v>19</v>
      </c>
      <c r="K279" s="2" t="s">
        <v>52</v>
      </c>
      <c r="L279" s="2" t="b">
        <v>0</v>
      </c>
      <c r="M279" s="2" t="s">
        <v>918</v>
      </c>
      <c r="N279" s="2" t="s">
        <v>919</v>
      </c>
      <c r="O279" s="2"/>
    </row>
    <row r="280" spans="1:16" ht="135.4">
      <c r="A280" s="3" t="s">
        <v>920</v>
      </c>
      <c r="B280" s="2" t="str">
        <f>TRIM(Table1[[#This Row],[Chat Name]])</f>
        <v>Find Traps</v>
      </c>
      <c r="C280" s="2">
        <v>2</v>
      </c>
      <c r="D280" s="2">
        <v>6</v>
      </c>
      <c r="E280" s="2" t="s">
        <v>73</v>
      </c>
      <c r="F280" s="6" t="b">
        <v>0</v>
      </c>
      <c r="G280" s="6" t="b">
        <v>1</v>
      </c>
      <c r="H280" s="2" t="s">
        <v>34</v>
      </c>
      <c r="I280" s="2" t="b">
        <v>0</v>
      </c>
      <c r="J280" s="2" t="s">
        <v>19</v>
      </c>
      <c r="K280" s="2" t="s">
        <v>160</v>
      </c>
      <c r="L280" s="2" t="b">
        <v>0</v>
      </c>
      <c r="M280" s="2" t="s">
        <v>921</v>
      </c>
      <c r="N280" s="2" t="s">
        <v>922</v>
      </c>
      <c r="O280" s="2"/>
    </row>
    <row r="281" spans="1:16" ht="86.1">
      <c r="A281" s="3" t="s">
        <v>923</v>
      </c>
      <c r="B281" s="2" t="str">
        <f>TRIM(Table1[[#This Row],[Chat Name]])</f>
        <v>Finger of Death</v>
      </c>
      <c r="C281" s="2">
        <v>9</v>
      </c>
      <c r="D281" s="2">
        <v>54</v>
      </c>
      <c r="E281" s="2" t="s">
        <v>17</v>
      </c>
      <c r="F281" s="6" t="b">
        <v>0</v>
      </c>
      <c r="G281" s="6" t="b">
        <v>1</v>
      </c>
      <c r="H281" s="2" t="s">
        <v>34</v>
      </c>
      <c r="I281" s="2" t="b">
        <v>0</v>
      </c>
      <c r="J281" s="2" t="s">
        <v>19</v>
      </c>
      <c r="K281" s="2" t="s">
        <v>56</v>
      </c>
      <c r="L281" s="2" t="b">
        <v>0</v>
      </c>
      <c r="M281" s="2" t="s">
        <v>924</v>
      </c>
      <c r="N281" s="2" t="s">
        <v>925</v>
      </c>
      <c r="O281" s="2"/>
    </row>
    <row r="282" spans="1:16" ht="73.900000000000006">
      <c r="A282" s="3" t="s">
        <v>926</v>
      </c>
      <c r="B282" s="2" t="str">
        <f>TRIM(Table1[[#This Row],[Chat Name]])</f>
        <v>Fire Bolt</v>
      </c>
      <c r="C282" s="2">
        <v>0</v>
      </c>
      <c r="D282" s="2">
        <v>0</v>
      </c>
      <c r="E282" s="2" t="s">
        <v>153</v>
      </c>
      <c r="F282" s="6" t="b">
        <v>1</v>
      </c>
      <c r="G282" s="6" t="b">
        <v>0</v>
      </c>
      <c r="H282" s="2" t="s">
        <v>34</v>
      </c>
      <c r="I282" s="2" t="b">
        <v>0</v>
      </c>
      <c r="J282" s="2" t="s">
        <v>19</v>
      </c>
      <c r="K282" s="2" t="s">
        <v>160</v>
      </c>
      <c r="L282" s="2" t="b">
        <v>0</v>
      </c>
      <c r="M282" s="2" t="s">
        <v>927</v>
      </c>
      <c r="N282" s="2" t="s">
        <v>928</v>
      </c>
      <c r="O282" s="2"/>
    </row>
    <row r="283" spans="1:16" ht="123">
      <c r="A283" s="3" t="s">
        <v>929</v>
      </c>
      <c r="B283" s="2" t="str">
        <f>TRIM(Table1[[#This Row],[Chat Name]])</f>
        <v>Fire Shield</v>
      </c>
      <c r="C283" s="2">
        <v>5</v>
      </c>
      <c r="D283" s="2">
        <v>21</v>
      </c>
      <c r="E283" s="2" t="s">
        <v>153</v>
      </c>
      <c r="F283" s="6" t="b">
        <v>1</v>
      </c>
      <c r="G283" s="6" t="b">
        <v>0</v>
      </c>
      <c r="H283" s="2" t="s">
        <v>34</v>
      </c>
      <c r="I283" s="2" t="b">
        <v>0</v>
      </c>
      <c r="J283" s="2" t="s">
        <v>18</v>
      </c>
      <c r="K283" s="2" t="s">
        <v>59</v>
      </c>
      <c r="L283" s="2" t="b">
        <v>0</v>
      </c>
      <c r="M283" s="2" t="s">
        <v>930</v>
      </c>
      <c r="N283" s="2" t="s">
        <v>931</v>
      </c>
      <c r="O283" s="2"/>
    </row>
    <row r="284" spans="1:16" ht="123">
      <c r="A284" s="3" t="s">
        <v>932</v>
      </c>
      <c r="B284" s="2" t="str">
        <f>TRIM(Table1[[#This Row],[Chat Name]])</f>
        <v>Fire Storm</v>
      </c>
      <c r="C284" s="2">
        <v>9</v>
      </c>
      <c r="D284" s="2">
        <v>54</v>
      </c>
      <c r="E284" s="2" t="s">
        <v>153</v>
      </c>
      <c r="F284" s="6" t="b">
        <v>1</v>
      </c>
      <c r="G284" s="6" t="b">
        <v>0</v>
      </c>
      <c r="H284" s="2" t="s">
        <v>34</v>
      </c>
      <c r="I284" s="2" t="b">
        <v>0</v>
      </c>
      <c r="J284" s="2" t="s">
        <v>19</v>
      </c>
      <c r="K284" s="2" t="s">
        <v>460</v>
      </c>
      <c r="L284" s="2" t="b">
        <v>0</v>
      </c>
      <c r="M284" s="2" t="s">
        <v>933</v>
      </c>
      <c r="N284" s="2" t="s">
        <v>934</v>
      </c>
      <c r="O284" s="2"/>
    </row>
    <row r="285" spans="1:16" ht="98.45">
      <c r="A285" s="3" t="s">
        <v>935</v>
      </c>
      <c r="B285" s="2" t="str">
        <f>TRIM(Table1[[#This Row],[Chat Name]])</f>
        <v>Fireball</v>
      </c>
      <c r="C285" s="2">
        <v>4</v>
      </c>
      <c r="D285" s="2">
        <v>15</v>
      </c>
      <c r="E285" s="2" t="s">
        <v>153</v>
      </c>
      <c r="F285" s="6" t="b">
        <v>1</v>
      </c>
      <c r="G285" s="6" t="b">
        <v>0</v>
      </c>
      <c r="H285" s="2" t="s">
        <v>34</v>
      </c>
      <c r="I285" s="2" t="b">
        <v>0</v>
      </c>
      <c r="J285" s="2" t="s">
        <v>19</v>
      </c>
      <c r="K285" s="2" t="s">
        <v>460</v>
      </c>
      <c r="L285" s="2" t="b">
        <v>0</v>
      </c>
      <c r="M285" s="2" t="s">
        <v>936</v>
      </c>
      <c r="N285" s="2" t="s">
        <v>937</v>
      </c>
      <c r="O285" s="2" t="s">
        <v>938</v>
      </c>
      <c r="P285" s="13" t="s">
        <v>938</v>
      </c>
    </row>
    <row r="286" spans="1:16" ht="110.65">
      <c r="A286" s="3" t="s">
        <v>939</v>
      </c>
      <c r="B286" s="2" t="str">
        <f>TRIM(Table1[[#This Row],[Chat Name]])</f>
        <v>Fissure</v>
      </c>
      <c r="C286" s="2">
        <v>12</v>
      </c>
      <c r="D286" s="2">
        <v>90</v>
      </c>
      <c r="E286" s="2" t="s">
        <v>153</v>
      </c>
      <c r="F286" s="7" t="b">
        <v>1</v>
      </c>
      <c r="G286" s="7" t="b">
        <v>0</v>
      </c>
      <c r="H286" s="2" t="s">
        <v>34</v>
      </c>
      <c r="I286" s="2" t="b">
        <v>0</v>
      </c>
      <c r="J286" s="2" t="s">
        <v>19</v>
      </c>
      <c r="K286" s="2" t="s">
        <v>940</v>
      </c>
      <c r="L286" s="2" t="b">
        <v>0</v>
      </c>
      <c r="M286" s="2"/>
      <c r="N286" s="2" t="s">
        <v>941</v>
      </c>
      <c r="O286" s="2"/>
    </row>
    <row r="287" spans="1:16" ht="73.900000000000006">
      <c r="A287" s="3" t="s">
        <v>942</v>
      </c>
      <c r="B287" s="2" t="str">
        <f>TRIM(Table1[[#This Row],[Chat Name]])</f>
        <v>Flame Arrows</v>
      </c>
      <c r="C287" s="2">
        <v>3</v>
      </c>
      <c r="D287" s="2">
        <v>9</v>
      </c>
      <c r="E287" s="2" t="s">
        <v>153</v>
      </c>
      <c r="F287" s="6" t="b">
        <v>1</v>
      </c>
      <c r="G287" s="6" t="b">
        <v>0</v>
      </c>
      <c r="H287" s="2" t="s">
        <v>34</v>
      </c>
      <c r="I287" s="2" t="b">
        <v>1</v>
      </c>
      <c r="J287" s="2" t="s">
        <v>245</v>
      </c>
      <c r="K287" s="2" t="s">
        <v>110</v>
      </c>
      <c r="L287" s="2" t="b">
        <v>0</v>
      </c>
      <c r="M287" s="2" t="s">
        <v>943</v>
      </c>
      <c r="N287" s="2" t="s">
        <v>944</v>
      </c>
      <c r="O287" s="2" t="s">
        <v>945</v>
      </c>
      <c r="P287" s="13" t="s">
        <v>945</v>
      </c>
    </row>
    <row r="288" spans="1:16" ht="86.1">
      <c r="A288" s="3" t="s">
        <v>946</v>
      </c>
      <c r="B288" s="2" t="str">
        <f>TRIM(Table1[[#This Row],[Chat Name]])</f>
        <v>Flame Blade</v>
      </c>
      <c r="C288" s="2">
        <v>2</v>
      </c>
      <c r="D288" s="2">
        <v>6</v>
      </c>
      <c r="E288" s="2" t="s">
        <v>153</v>
      </c>
      <c r="F288" s="6" t="b">
        <v>1</v>
      </c>
      <c r="G288" s="6" t="b">
        <v>0</v>
      </c>
      <c r="H288" s="2" t="s">
        <v>31</v>
      </c>
      <c r="I288" s="2" t="b">
        <v>1</v>
      </c>
      <c r="J288" s="2" t="s">
        <v>301</v>
      </c>
      <c r="K288" s="2" t="s">
        <v>59</v>
      </c>
      <c r="L288" s="2" t="b">
        <v>0</v>
      </c>
      <c r="M288" s="2" t="s">
        <v>947</v>
      </c>
      <c r="N288" s="2" t="s">
        <v>948</v>
      </c>
      <c r="O288" s="2" t="s">
        <v>949</v>
      </c>
      <c r="P288" s="13" t="s">
        <v>949</v>
      </c>
    </row>
    <row r="289" spans="1:16" ht="73.900000000000006">
      <c r="A289" s="3" t="s">
        <v>950</v>
      </c>
      <c r="B289" s="2" t="str">
        <f>TRIM(Table1[[#This Row],[Chat Name]])</f>
        <v>Flame Strike</v>
      </c>
      <c r="C289" s="2">
        <v>6</v>
      </c>
      <c r="D289" s="2">
        <v>27</v>
      </c>
      <c r="E289" s="2" t="s">
        <v>153</v>
      </c>
      <c r="F289" s="6" t="b">
        <v>1</v>
      </c>
      <c r="G289" s="6" t="b">
        <v>0</v>
      </c>
      <c r="H289" s="2" t="s">
        <v>34</v>
      </c>
      <c r="I289" s="2" t="b">
        <v>0</v>
      </c>
      <c r="J289" s="2" t="s">
        <v>19</v>
      </c>
      <c r="K289" s="2" t="s">
        <v>56</v>
      </c>
      <c r="L289" s="2" t="b">
        <v>0</v>
      </c>
      <c r="M289" s="2" t="s">
        <v>951</v>
      </c>
      <c r="N289" s="2" t="s">
        <v>952</v>
      </c>
      <c r="O289" s="2" t="s">
        <v>953</v>
      </c>
      <c r="P289" s="13" t="s">
        <v>953</v>
      </c>
    </row>
    <row r="290" spans="1:16" ht="159.94999999999999">
      <c r="A290" s="3" t="s">
        <v>954</v>
      </c>
      <c r="B290" s="2" t="str">
        <f>TRIM(Table1[[#This Row],[Chat Name]])</f>
        <v>Flaming Sphere</v>
      </c>
      <c r="C290" s="2">
        <v>2</v>
      </c>
      <c r="D290" s="2">
        <v>6</v>
      </c>
      <c r="E290" s="2" t="s">
        <v>153</v>
      </c>
      <c r="F290" s="6" t="b">
        <v>1</v>
      </c>
      <c r="G290" s="6" t="b">
        <v>0</v>
      </c>
      <c r="H290" s="2" t="s">
        <v>34</v>
      </c>
      <c r="I290" s="2" t="b">
        <v>1</v>
      </c>
      <c r="J290" s="2" t="s">
        <v>272</v>
      </c>
      <c r="K290" s="2" t="s">
        <v>56</v>
      </c>
      <c r="L290" s="2" t="b">
        <v>0</v>
      </c>
      <c r="M290" s="2" t="s">
        <v>955</v>
      </c>
      <c r="N290" s="2" t="s">
        <v>956</v>
      </c>
      <c r="O290" s="2" t="s">
        <v>774</v>
      </c>
      <c r="P290" s="13" t="s">
        <v>774</v>
      </c>
    </row>
    <row r="291" spans="1:16" ht="123">
      <c r="A291" s="3" t="s">
        <v>957</v>
      </c>
      <c r="B291" s="2" t="str">
        <f>TRIM(Table1[[#This Row],[Chat Name]])</f>
        <v>Guardian of Faith</v>
      </c>
      <c r="C291" s="2">
        <v>5</v>
      </c>
      <c r="D291" s="2">
        <v>21</v>
      </c>
      <c r="E291" s="2" t="s">
        <v>23</v>
      </c>
      <c r="F291" s="6" t="b">
        <v>1</v>
      </c>
      <c r="G291" s="6" t="b">
        <v>0</v>
      </c>
      <c r="H291" s="2" t="s">
        <v>34</v>
      </c>
      <c r="I291" s="2" t="b">
        <v>0</v>
      </c>
      <c r="J291" s="2" t="s">
        <v>40</v>
      </c>
      <c r="K291" s="2" t="s">
        <v>52</v>
      </c>
      <c r="L291" s="2" t="b">
        <v>0</v>
      </c>
      <c r="M291" s="2" t="s">
        <v>958</v>
      </c>
      <c r="N291" s="2" t="s">
        <v>959</v>
      </c>
      <c r="O291" s="2"/>
    </row>
    <row r="292" spans="1:16" ht="123">
      <c r="A292" s="3"/>
      <c r="B292" s="2" t="str">
        <f>TRIM(Table1[[#This Row],[Chat Name]])</f>
        <v/>
      </c>
      <c r="C292" s="2">
        <v>1</v>
      </c>
      <c r="D292" s="2">
        <v>3</v>
      </c>
      <c r="E292" s="2" t="s">
        <v>30</v>
      </c>
      <c r="F292" s="6" t="b">
        <v>0</v>
      </c>
      <c r="G292" s="6" t="b">
        <v>1</v>
      </c>
      <c r="H292" s="2" t="s">
        <v>34</v>
      </c>
      <c r="I292" s="2" t="b">
        <v>1</v>
      </c>
      <c r="J292" s="2" t="s">
        <v>39</v>
      </c>
      <c r="K292" s="2" t="s">
        <v>56</v>
      </c>
      <c r="L292" s="2" t="b">
        <v>0</v>
      </c>
      <c r="M292" s="2"/>
      <c r="N292" s="2" t="s">
        <v>960</v>
      </c>
      <c r="O292" s="2" t="s">
        <v>961</v>
      </c>
      <c r="P292" s="13" t="s">
        <v>961</v>
      </c>
    </row>
    <row r="293" spans="1:16" ht="196.9">
      <c r="A293" s="3" t="s">
        <v>962</v>
      </c>
      <c r="B293" s="2" t="str">
        <f>TRIM(Table1[[#This Row],[Chat Name]])</f>
        <v>Flesh to Stone</v>
      </c>
      <c r="C293" s="2">
        <v>8</v>
      </c>
      <c r="D293" s="2">
        <v>45</v>
      </c>
      <c r="E293" s="2" t="s">
        <v>244</v>
      </c>
      <c r="F293" s="6" t="b">
        <v>1</v>
      </c>
      <c r="G293" s="6" t="b">
        <v>0</v>
      </c>
      <c r="H293" s="2" t="s">
        <v>34</v>
      </c>
      <c r="I293" s="2" t="b">
        <v>1</v>
      </c>
      <c r="J293" s="2" t="s">
        <v>272</v>
      </c>
      <c r="K293" s="2" t="s">
        <v>56</v>
      </c>
      <c r="L293" s="2" t="b">
        <v>0</v>
      </c>
      <c r="M293" s="2" t="s">
        <v>963</v>
      </c>
      <c r="N293" s="2" t="s">
        <v>964</v>
      </c>
      <c r="O293" s="2"/>
    </row>
    <row r="294" spans="1:16" ht="184.5">
      <c r="A294" s="3" t="s">
        <v>965</v>
      </c>
      <c r="B294" s="2" t="str">
        <f>TRIM(Table1[[#This Row],[Chat Name]])</f>
        <v>Tenser's Floating Disk</v>
      </c>
      <c r="C294" s="2">
        <v>1</v>
      </c>
      <c r="D294" s="2">
        <v>3</v>
      </c>
      <c r="E294" s="2" t="s">
        <v>30</v>
      </c>
      <c r="F294" s="6" t="b">
        <v>0</v>
      </c>
      <c r="G294" s="6" t="b">
        <v>1</v>
      </c>
      <c r="H294" s="2" t="s">
        <v>34</v>
      </c>
      <c r="I294" s="2" t="b">
        <v>0</v>
      </c>
      <c r="J294" s="2" t="s">
        <v>35</v>
      </c>
      <c r="K294" s="2" t="s">
        <v>52</v>
      </c>
      <c r="L294" s="2" t="b">
        <v>1</v>
      </c>
      <c r="M294" s="2" t="s">
        <v>966</v>
      </c>
      <c r="N294" s="2" t="s">
        <v>967</v>
      </c>
      <c r="O294" s="2"/>
    </row>
    <row r="295" spans="1:16" ht="159.94999999999999">
      <c r="A295" s="3" t="s">
        <v>968</v>
      </c>
      <c r="B295" s="2" t="str">
        <f>TRIM(Table1[[#This Row],[Chat Name]])</f>
        <v>Flock of Familiars</v>
      </c>
      <c r="C295" s="2">
        <v>2</v>
      </c>
      <c r="D295" s="2">
        <v>6</v>
      </c>
      <c r="E295" s="2" t="s">
        <v>244</v>
      </c>
      <c r="F295" s="6" t="b">
        <v>1</v>
      </c>
      <c r="G295" s="6" t="b">
        <v>0</v>
      </c>
      <c r="H295" s="2" t="s">
        <v>39</v>
      </c>
      <c r="I295" s="2" t="b">
        <v>1</v>
      </c>
      <c r="J295" s="2" t="s">
        <v>245</v>
      </c>
      <c r="K295" s="2" t="s">
        <v>110</v>
      </c>
      <c r="L295" s="2" t="b">
        <v>0</v>
      </c>
      <c r="M295" s="2" t="s">
        <v>969</v>
      </c>
      <c r="N295" s="2" t="s">
        <v>970</v>
      </c>
      <c r="O295" s="2" t="s">
        <v>971</v>
      </c>
      <c r="P295" s="13" t="s">
        <v>971</v>
      </c>
    </row>
    <row r="296" spans="1:16" ht="57.6">
      <c r="A296" s="3" t="s">
        <v>972</v>
      </c>
      <c r="B296" s="2" t="str">
        <f>TRIM(Table1[[#This Row],[Chat Name]])</f>
        <v>Fly</v>
      </c>
      <c r="C296" s="2">
        <v>4</v>
      </c>
      <c r="D296" s="2">
        <v>15</v>
      </c>
      <c r="E296" s="2" t="s">
        <v>244</v>
      </c>
      <c r="F296" s="6" t="b">
        <v>1</v>
      </c>
      <c r="G296" s="6" t="b">
        <v>0</v>
      </c>
      <c r="H296" s="2" t="s">
        <v>34</v>
      </c>
      <c r="I296" s="2" t="b">
        <v>1</v>
      </c>
      <c r="J296" s="2" t="s">
        <v>301</v>
      </c>
      <c r="K296" s="2" t="s">
        <v>110</v>
      </c>
      <c r="L296" s="2" t="b">
        <v>0</v>
      </c>
      <c r="M296" s="2" t="s">
        <v>973</v>
      </c>
      <c r="N296" s="2" t="s">
        <v>974</v>
      </c>
      <c r="O296" s="2" t="s">
        <v>893</v>
      </c>
      <c r="P296" s="13" t="s">
        <v>893</v>
      </c>
    </row>
    <row r="297" spans="1:16" ht="61.5">
      <c r="A297" s="3" t="s">
        <v>975</v>
      </c>
      <c r="B297" s="2" t="str">
        <f>TRIM(Table1[[#This Row],[Chat Name]])</f>
        <v>Fog Cloud</v>
      </c>
      <c r="C297" s="2">
        <v>1</v>
      </c>
      <c r="D297" s="2">
        <v>3</v>
      </c>
      <c r="E297" s="2" t="s">
        <v>244</v>
      </c>
      <c r="F297" s="6" t="b">
        <v>1</v>
      </c>
      <c r="G297" s="6" t="b">
        <v>0</v>
      </c>
      <c r="H297" s="2" t="s">
        <v>34</v>
      </c>
      <c r="I297" s="2" t="b">
        <v>1</v>
      </c>
      <c r="J297" s="2" t="s">
        <v>245</v>
      </c>
      <c r="K297" s="2" t="s">
        <v>160</v>
      </c>
      <c r="L297" s="2" t="b">
        <v>0</v>
      </c>
      <c r="M297" s="2" t="s">
        <v>976</v>
      </c>
      <c r="N297" s="2" t="s">
        <v>977</v>
      </c>
      <c r="O297" s="2" t="s">
        <v>978</v>
      </c>
      <c r="P297" s="13" t="s">
        <v>978</v>
      </c>
    </row>
    <row r="298" spans="1:16" ht="246">
      <c r="A298" s="3" t="s">
        <v>979</v>
      </c>
      <c r="B298" s="2" t="str">
        <f>TRIM(Table1[[#This Row],[Chat Name]])</f>
        <v>Forbiddance</v>
      </c>
      <c r="C298" s="2">
        <v>9</v>
      </c>
      <c r="D298" s="2">
        <v>54</v>
      </c>
      <c r="E298" s="2" t="s">
        <v>96</v>
      </c>
      <c r="F298" s="6" t="b">
        <v>0</v>
      </c>
      <c r="G298" s="6" t="b">
        <v>1</v>
      </c>
      <c r="H298" s="2" t="s">
        <v>18</v>
      </c>
      <c r="I298" s="2" t="b">
        <v>0</v>
      </c>
      <c r="J298" s="2" t="s">
        <v>980</v>
      </c>
      <c r="K298" s="2" t="s">
        <v>110</v>
      </c>
      <c r="L298" s="2" t="b">
        <v>1</v>
      </c>
      <c r="M298" s="2" t="s">
        <v>981</v>
      </c>
      <c r="N298" s="2" t="s">
        <v>982</v>
      </c>
      <c r="O298" s="2"/>
    </row>
    <row r="299" spans="1:16" ht="86.1">
      <c r="A299" s="3" t="s">
        <v>983</v>
      </c>
      <c r="B299" s="2" t="str">
        <f>TRIM(Table1[[#This Row],[Chat Name]])</f>
        <v>Force Cannon</v>
      </c>
      <c r="C299" s="2">
        <v>1</v>
      </c>
      <c r="D299" s="2">
        <v>3</v>
      </c>
      <c r="E299" s="2" t="s">
        <v>679</v>
      </c>
      <c r="F299" s="7" t="b">
        <v>0</v>
      </c>
      <c r="G299" s="7" t="b">
        <v>1</v>
      </c>
      <c r="H299" s="2" t="s">
        <v>34</v>
      </c>
      <c r="I299" s="2" t="b">
        <v>0</v>
      </c>
      <c r="J299" s="2" t="s">
        <v>19</v>
      </c>
      <c r="K299" s="2" t="s">
        <v>160</v>
      </c>
      <c r="L299" s="2" t="b">
        <v>0</v>
      </c>
      <c r="M299" s="2"/>
      <c r="N299" s="11" t="s">
        <v>984</v>
      </c>
      <c r="O299" s="2" t="s">
        <v>985</v>
      </c>
      <c r="P299" s="13" t="s">
        <v>985</v>
      </c>
    </row>
    <row r="300" spans="1:16" ht="246">
      <c r="A300" s="3" t="s">
        <v>986</v>
      </c>
      <c r="B300" s="2" t="str">
        <f>TRIM(Table1[[#This Row],[Chat Name]])</f>
        <v>Forcecage</v>
      </c>
      <c r="C300" s="2">
        <v>10</v>
      </c>
      <c r="D300" s="2">
        <v>54</v>
      </c>
      <c r="E300" s="2" t="s">
        <v>30</v>
      </c>
      <c r="F300" s="6" t="b">
        <v>0</v>
      </c>
      <c r="G300" s="6" t="b">
        <v>1</v>
      </c>
      <c r="H300" s="2" t="s">
        <v>34</v>
      </c>
      <c r="I300" s="2" t="b">
        <v>0</v>
      </c>
      <c r="J300" s="2" t="s">
        <v>35</v>
      </c>
      <c r="K300" s="2" t="s">
        <v>987</v>
      </c>
      <c r="L300" s="2" t="b">
        <v>0</v>
      </c>
      <c r="M300" s="2" t="s">
        <v>988</v>
      </c>
      <c r="N300" s="2" t="s">
        <v>989</v>
      </c>
      <c r="O300" s="2"/>
    </row>
    <row r="301" spans="1:16" ht="73.900000000000006">
      <c r="A301" s="3" t="s">
        <v>990</v>
      </c>
      <c r="B301" s="2" t="str">
        <f>TRIM(Table1[[#This Row],[Chat Name]])</f>
        <v>Foresight</v>
      </c>
      <c r="C301" s="2">
        <v>11</v>
      </c>
      <c r="D301" s="2">
        <v>78</v>
      </c>
      <c r="E301" s="2" t="s">
        <v>23</v>
      </c>
      <c r="F301" s="6" t="b">
        <v>1</v>
      </c>
      <c r="G301" s="6" t="b">
        <v>0</v>
      </c>
      <c r="H301" s="2" t="s">
        <v>39</v>
      </c>
      <c r="I301" s="2" t="b">
        <v>0</v>
      </c>
      <c r="J301" s="2" t="s">
        <v>40</v>
      </c>
      <c r="K301" s="2" t="s">
        <v>110</v>
      </c>
      <c r="L301" s="2" t="b">
        <v>0</v>
      </c>
      <c r="M301" s="2" t="s">
        <v>991</v>
      </c>
      <c r="N301" s="2" t="s">
        <v>992</v>
      </c>
      <c r="O301" s="2"/>
    </row>
    <row r="302" spans="1:16" ht="98.45">
      <c r="A302" s="3"/>
      <c r="B302" s="2" t="str">
        <f>TRIM(Table1[[#This Row],[Chat Name]])</f>
        <v/>
      </c>
      <c r="C302" s="2">
        <v>0</v>
      </c>
      <c r="D302" s="2">
        <v>0</v>
      </c>
      <c r="E302" s="2" t="s">
        <v>96</v>
      </c>
      <c r="F302" s="6" t="b">
        <v>0</v>
      </c>
      <c r="G302" s="6" t="b">
        <v>1</v>
      </c>
      <c r="H302" s="2" t="s">
        <v>34</v>
      </c>
      <c r="I302" s="2" t="b">
        <v>0</v>
      </c>
      <c r="J302" s="2" t="s">
        <v>19</v>
      </c>
      <c r="K302" s="2" t="s">
        <v>59</v>
      </c>
      <c r="L302" s="2" t="b">
        <v>0</v>
      </c>
      <c r="M302" s="2"/>
      <c r="N302" s="2" t="s">
        <v>993</v>
      </c>
      <c r="O302" s="2"/>
    </row>
    <row r="303" spans="1:16" ht="135.4">
      <c r="A303" s="3" t="s">
        <v>994</v>
      </c>
      <c r="B303" s="2" t="str">
        <f>TRIM(Table1[[#This Row],[Chat Name]])</f>
        <v>Fortune's Favor</v>
      </c>
      <c r="C303" s="2">
        <v>3</v>
      </c>
      <c r="D303" s="2">
        <v>9</v>
      </c>
      <c r="E303" s="2" t="s">
        <v>96</v>
      </c>
      <c r="F303" s="6" t="b">
        <v>0</v>
      </c>
      <c r="G303" s="6" t="b">
        <v>1</v>
      </c>
      <c r="H303" s="2" t="s">
        <v>39</v>
      </c>
      <c r="I303" s="2" t="b">
        <v>0</v>
      </c>
      <c r="J303" s="2" t="s">
        <v>35</v>
      </c>
      <c r="K303" s="2" t="s">
        <v>56</v>
      </c>
      <c r="L303" s="2" t="b">
        <v>0</v>
      </c>
      <c r="M303" s="2" t="s">
        <v>995</v>
      </c>
      <c r="N303" s="2" t="s">
        <v>996</v>
      </c>
      <c r="O303" s="2" t="s">
        <v>398</v>
      </c>
      <c r="P303" s="13" t="s">
        <v>398</v>
      </c>
    </row>
    <row r="304" spans="1:16" ht="98.45">
      <c r="A304" s="3" t="s">
        <v>997</v>
      </c>
      <c r="B304" s="2" t="str">
        <f>TRIM(Table1[[#This Row],[Chat Name]])</f>
        <v>Freedom of Movement</v>
      </c>
      <c r="C304" s="2">
        <v>5</v>
      </c>
      <c r="D304" s="2">
        <v>21</v>
      </c>
      <c r="E304" s="2" t="s">
        <v>244</v>
      </c>
      <c r="F304" s="6" t="b">
        <v>1</v>
      </c>
      <c r="G304" s="6" t="b">
        <v>0</v>
      </c>
      <c r="H304" s="2" t="s">
        <v>34</v>
      </c>
      <c r="I304" s="2" t="b">
        <v>0</v>
      </c>
      <c r="J304" s="2" t="s">
        <v>35</v>
      </c>
      <c r="K304" s="2" t="s">
        <v>110</v>
      </c>
      <c r="L304" s="2" t="b">
        <v>0</v>
      </c>
      <c r="M304" s="2" t="s">
        <v>998</v>
      </c>
      <c r="N304" s="2" t="s">
        <v>999</v>
      </c>
      <c r="O304" s="2"/>
    </row>
    <row r="305" spans="1:16" ht="246">
      <c r="A305" s="3" t="s">
        <v>1000</v>
      </c>
      <c r="B305" s="2" t="str">
        <f>TRIM(Table1[[#This Row],[Chat Name]])</f>
        <v>Otiluke's Freezing Sphere</v>
      </c>
      <c r="C305" s="2">
        <v>8</v>
      </c>
      <c r="D305" s="2">
        <v>45</v>
      </c>
      <c r="E305" s="2" t="s">
        <v>153</v>
      </c>
      <c r="F305" s="6" t="b">
        <v>1</v>
      </c>
      <c r="G305" s="6" t="b">
        <v>0</v>
      </c>
      <c r="H305" s="2" t="s">
        <v>34</v>
      </c>
      <c r="I305" s="2" t="b">
        <v>0</v>
      </c>
      <c r="J305" s="2" t="s">
        <v>19</v>
      </c>
      <c r="K305" s="2" t="s">
        <v>102</v>
      </c>
      <c r="L305" s="2" t="b">
        <v>0</v>
      </c>
      <c r="M305" s="2" t="s">
        <v>1001</v>
      </c>
      <c r="N305" s="2" t="s">
        <v>1002</v>
      </c>
      <c r="O305" s="2" t="s">
        <v>1003</v>
      </c>
      <c r="P305" s="13" t="s">
        <v>1003</v>
      </c>
    </row>
    <row r="306" spans="1:16" ht="61.5">
      <c r="A306" s="3" t="s">
        <v>1004</v>
      </c>
      <c r="B306" s="2" t="str">
        <f>TRIM(Table1[[#This Row],[Chat Name]])</f>
        <v>Frost Fingers</v>
      </c>
      <c r="C306" s="2">
        <v>1</v>
      </c>
      <c r="D306" s="2">
        <v>3</v>
      </c>
      <c r="E306" s="2" t="s">
        <v>153</v>
      </c>
      <c r="F306" s="6" t="b">
        <v>1</v>
      </c>
      <c r="G306" s="6" t="b">
        <v>0</v>
      </c>
      <c r="H306" s="2" t="s">
        <v>34</v>
      </c>
      <c r="I306" s="2" t="b">
        <v>0</v>
      </c>
      <c r="J306" s="2" t="s">
        <v>19</v>
      </c>
      <c r="K306" s="2" t="s">
        <v>432</v>
      </c>
      <c r="L306" s="2" t="b">
        <v>0</v>
      </c>
      <c r="M306" s="2" t="s">
        <v>1005</v>
      </c>
      <c r="N306" s="2" t="s">
        <v>1005</v>
      </c>
      <c r="O306" s="2" t="s">
        <v>1006</v>
      </c>
      <c r="P306" s="13" t="s">
        <v>1006</v>
      </c>
    </row>
    <row r="307" spans="1:16" ht="86.1">
      <c r="A307" s="3" t="s">
        <v>1007</v>
      </c>
      <c r="B307" s="2" t="str">
        <f>TRIM(Table1[[#This Row],[Chat Name]])</f>
        <v>Frostbite</v>
      </c>
      <c r="C307" s="2">
        <v>0</v>
      </c>
      <c r="D307" s="2">
        <v>0</v>
      </c>
      <c r="E307" s="2" t="s">
        <v>153</v>
      </c>
      <c r="F307" s="6" t="b">
        <v>1</v>
      </c>
      <c r="G307" s="6" t="b">
        <v>0</v>
      </c>
      <c r="H307" s="2" t="s">
        <v>34</v>
      </c>
      <c r="I307" s="2" t="b">
        <v>0</v>
      </c>
      <c r="J307" s="2" t="s">
        <v>19</v>
      </c>
      <c r="K307" s="2" t="s">
        <v>56</v>
      </c>
      <c r="L307" s="2" t="b">
        <v>0</v>
      </c>
      <c r="M307" s="2" t="s">
        <v>1008</v>
      </c>
      <c r="N307" s="2" t="s">
        <v>1009</v>
      </c>
      <c r="O307" s="2"/>
    </row>
    <row r="308" spans="1:16" ht="86.1">
      <c r="A308" s="3"/>
      <c r="B308" s="2" t="str">
        <f>TRIM(Table1[[#This Row],[Chat Name]])</f>
        <v/>
      </c>
      <c r="C308" s="2">
        <v>4</v>
      </c>
      <c r="D308" s="2">
        <v>15</v>
      </c>
      <c r="E308" s="2" t="s">
        <v>153</v>
      </c>
      <c r="F308" s="6" t="b">
        <v>1</v>
      </c>
      <c r="G308" s="6" t="b">
        <v>0</v>
      </c>
      <c r="H308" s="2" t="s">
        <v>1010</v>
      </c>
      <c r="I308" s="2" t="b">
        <v>0</v>
      </c>
      <c r="J308" s="2" t="s">
        <v>19</v>
      </c>
      <c r="K308" s="2" t="s">
        <v>59</v>
      </c>
      <c r="L308" s="2" t="b">
        <v>0</v>
      </c>
      <c r="M308" s="2"/>
      <c r="N308" s="2" t="s">
        <v>1011</v>
      </c>
      <c r="O308" s="2" t="s">
        <v>1012</v>
      </c>
      <c r="P308" s="13" t="s">
        <v>1013</v>
      </c>
    </row>
    <row r="309" spans="1:16" ht="86.1">
      <c r="A309" s="3" t="s">
        <v>1014</v>
      </c>
      <c r="B309" s="2" t="str">
        <f>TRIM(Table1[[#This Row],[Chat Name]])</f>
        <v>Gale</v>
      </c>
      <c r="C309" s="2">
        <v>7</v>
      </c>
      <c r="D309" s="2">
        <v>36</v>
      </c>
      <c r="E309" s="2" t="s">
        <v>153</v>
      </c>
      <c r="F309" s="7" t="b">
        <v>1</v>
      </c>
      <c r="G309" s="7" t="b">
        <v>0</v>
      </c>
      <c r="H309" s="2" t="s">
        <v>34</v>
      </c>
      <c r="I309" s="2" t="b">
        <v>0</v>
      </c>
      <c r="J309" s="2" t="s">
        <v>19</v>
      </c>
      <c r="K309" s="2" t="s">
        <v>1015</v>
      </c>
      <c r="L309" s="2" t="b">
        <v>0</v>
      </c>
      <c r="M309" s="2"/>
      <c r="N309" s="2" t="s">
        <v>1016</v>
      </c>
      <c r="O309" s="2" t="s">
        <v>1017</v>
      </c>
      <c r="P309" s="13" t="s">
        <v>1017</v>
      </c>
    </row>
    <row r="310" spans="1:16" ht="61.5">
      <c r="A310" s="3" t="s">
        <v>1018</v>
      </c>
      <c r="B310" s="2" t="str">
        <f>TRIM(Table1[[#This Row],[Chat Name]])</f>
        <v>Aganazzar's Scorcher</v>
      </c>
      <c r="C310" s="2">
        <v>2</v>
      </c>
      <c r="D310" s="2">
        <v>6</v>
      </c>
      <c r="E310" s="2" t="s">
        <v>153</v>
      </c>
      <c r="F310" s="6" t="b">
        <v>1</v>
      </c>
      <c r="G310" s="6" t="b">
        <v>0</v>
      </c>
      <c r="H310" s="2" t="s">
        <v>34</v>
      </c>
      <c r="I310" s="2" t="b">
        <v>0</v>
      </c>
      <c r="J310" s="2" t="s">
        <v>19</v>
      </c>
      <c r="K310" s="2" t="s">
        <v>52</v>
      </c>
      <c r="L310" s="2" t="b">
        <v>0</v>
      </c>
      <c r="M310" s="2" t="s">
        <v>1019</v>
      </c>
      <c r="N310" s="2" t="s">
        <v>1020</v>
      </c>
      <c r="O310" s="2" t="s">
        <v>798</v>
      </c>
      <c r="P310" s="13" t="s">
        <v>798</v>
      </c>
    </row>
    <row r="311" spans="1:16" ht="196.9">
      <c r="A311" s="3" t="s">
        <v>1021</v>
      </c>
      <c r="B311" s="2" t="str">
        <f>TRIM(Table1[[#This Row],[Chat Name]])</f>
        <v>Gaseous Form</v>
      </c>
      <c r="C311" s="2">
        <v>4</v>
      </c>
      <c r="D311" s="2">
        <v>15</v>
      </c>
      <c r="E311" s="2" t="s">
        <v>244</v>
      </c>
      <c r="F311" s="6" t="b">
        <v>1</v>
      </c>
      <c r="G311" s="6" t="b">
        <v>0</v>
      </c>
      <c r="H311" s="2" t="s">
        <v>34</v>
      </c>
      <c r="I311" s="2" t="b">
        <v>1</v>
      </c>
      <c r="J311" s="2" t="s">
        <v>245</v>
      </c>
      <c r="K311" s="2" t="s">
        <v>110</v>
      </c>
      <c r="L311" s="2" t="b">
        <v>0</v>
      </c>
      <c r="M311" s="2" t="s">
        <v>1022</v>
      </c>
      <c r="N311" s="2" t="s">
        <v>1023</v>
      </c>
      <c r="O311" s="2"/>
    </row>
    <row r="312" spans="1:16" ht="233.65">
      <c r="A312" s="3" t="s">
        <v>1024</v>
      </c>
      <c r="B312" s="2" t="str">
        <f>TRIM(Table1[[#This Row],[Chat Name]])</f>
        <v>Gate</v>
      </c>
      <c r="C312" s="2">
        <v>12</v>
      </c>
      <c r="D312" s="2">
        <v>90</v>
      </c>
      <c r="E312" s="2" t="s">
        <v>30</v>
      </c>
      <c r="F312" s="6" t="b">
        <v>0</v>
      </c>
      <c r="G312" s="6" t="b">
        <v>1</v>
      </c>
      <c r="H312" s="2" t="s">
        <v>34</v>
      </c>
      <c r="I312" s="2" t="b">
        <v>1</v>
      </c>
      <c r="J312" s="2" t="s">
        <v>272</v>
      </c>
      <c r="K312" s="2" t="s">
        <v>56</v>
      </c>
      <c r="L312" s="2" t="b">
        <v>0</v>
      </c>
      <c r="M312" s="2" t="s">
        <v>1025</v>
      </c>
      <c r="N312" s="2" t="s">
        <v>1026</v>
      </c>
      <c r="O312" s="2"/>
    </row>
    <row r="313" spans="1:16" ht="409.5">
      <c r="A313" s="3" t="s">
        <v>1027</v>
      </c>
      <c r="B313" s="2" t="str">
        <f>TRIM(Table1[[#This Row],[Chat Name]])</f>
        <v>Imprisonment</v>
      </c>
      <c r="C313" s="2">
        <v>12</v>
      </c>
      <c r="D313" s="2">
        <v>90</v>
      </c>
      <c r="E313" s="2" t="s">
        <v>80</v>
      </c>
      <c r="F313" s="6" t="b">
        <v>1</v>
      </c>
      <c r="G313" s="6" t="b">
        <v>0</v>
      </c>
      <c r="H313" s="2" t="s">
        <v>39</v>
      </c>
      <c r="I313" s="2" t="b">
        <v>0</v>
      </c>
      <c r="J313" s="2" t="s">
        <v>307</v>
      </c>
      <c r="K313" s="2" t="s">
        <v>52</v>
      </c>
      <c r="L313" s="2" t="b">
        <v>0</v>
      </c>
      <c r="M313" s="2" t="s">
        <v>1028</v>
      </c>
      <c r="N313" s="2" t="s">
        <v>1029</v>
      </c>
      <c r="O313" s="2"/>
    </row>
    <row r="314" spans="1:16" ht="61.5">
      <c r="A314" s="3"/>
      <c r="B314" s="2" t="str">
        <f>TRIM(Table1[[#This Row],[Chat Name]])</f>
        <v/>
      </c>
      <c r="C314" s="2">
        <v>4</v>
      </c>
      <c r="D314" s="2">
        <v>15</v>
      </c>
      <c r="E314" s="2" t="s">
        <v>30</v>
      </c>
      <c r="F314" s="6" t="b">
        <v>0</v>
      </c>
      <c r="G314" s="6" t="b">
        <v>1</v>
      </c>
      <c r="H314" s="2" t="s">
        <v>39</v>
      </c>
      <c r="I314" s="2" t="b">
        <v>0</v>
      </c>
      <c r="J314" s="2" t="s">
        <v>232</v>
      </c>
      <c r="K314" s="2" t="s">
        <v>56</v>
      </c>
      <c r="L314" s="2" t="b">
        <v>1</v>
      </c>
      <c r="M314" s="2"/>
      <c r="N314" s="2" t="s">
        <v>1030</v>
      </c>
      <c r="O314" s="2" t="s">
        <v>1031</v>
      </c>
      <c r="P314" s="13" t="s">
        <v>1032</v>
      </c>
    </row>
    <row r="315" spans="1:16" ht="159.94999999999999">
      <c r="A315" s="3" t="s">
        <v>1033</v>
      </c>
      <c r="B315" s="2" t="str">
        <f>TRIM(Table1[[#This Row],[Chat Name]])</f>
        <v>Geas</v>
      </c>
      <c r="C315" s="2">
        <v>6</v>
      </c>
      <c r="D315" s="2">
        <v>27</v>
      </c>
      <c r="E315" s="2" t="s">
        <v>73</v>
      </c>
      <c r="F315" s="6" t="b">
        <v>0</v>
      </c>
      <c r="G315" s="6" t="b">
        <v>1</v>
      </c>
      <c r="H315" s="2" t="s">
        <v>39</v>
      </c>
      <c r="I315" s="2" t="b">
        <v>0</v>
      </c>
      <c r="J315" s="2" t="s">
        <v>1034</v>
      </c>
      <c r="K315" s="2" t="s">
        <v>56</v>
      </c>
      <c r="L315" s="2" t="b">
        <v>0</v>
      </c>
      <c r="M315" s="2" t="s">
        <v>1035</v>
      </c>
      <c r="N315" s="2" t="s">
        <v>1036</v>
      </c>
      <c r="O315" s="2" t="s">
        <v>1037</v>
      </c>
      <c r="P315" s="13" t="s">
        <v>1037</v>
      </c>
    </row>
    <row r="316" spans="1:16" ht="61.5">
      <c r="A316" s="3" t="s">
        <v>1038</v>
      </c>
      <c r="B316" s="2" t="str">
        <f>TRIM(Table1[[#This Row],[Chat Name]])</f>
        <v>Gentle Repose</v>
      </c>
      <c r="C316" s="2">
        <v>2</v>
      </c>
      <c r="D316" s="2">
        <v>6</v>
      </c>
      <c r="E316" s="2" t="s">
        <v>23</v>
      </c>
      <c r="F316" s="6" t="b">
        <v>1</v>
      </c>
      <c r="G316" s="6" t="b">
        <v>0</v>
      </c>
      <c r="H316" s="2" t="s">
        <v>34</v>
      </c>
      <c r="I316" s="2" t="b">
        <v>0</v>
      </c>
      <c r="J316" s="2" t="s">
        <v>288</v>
      </c>
      <c r="K316" s="2" t="s">
        <v>110</v>
      </c>
      <c r="L316" s="2" t="b">
        <v>1</v>
      </c>
      <c r="M316" s="2" t="s">
        <v>1039</v>
      </c>
      <c r="N316" s="2" t="s">
        <v>1040</v>
      </c>
      <c r="O316" s="2"/>
    </row>
    <row r="317" spans="1:16" ht="147.6">
      <c r="A317" s="3"/>
      <c r="B317" s="2" t="str">
        <f>TRIM(Table1[[#This Row],[Chat Name]])</f>
        <v/>
      </c>
      <c r="C317" s="2">
        <v>3</v>
      </c>
      <c r="D317" s="2">
        <v>9</v>
      </c>
      <c r="E317" s="2" t="s">
        <v>30</v>
      </c>
      <c r="F317" s="6" t="b">
        <v>0</v>
      </c>
      <c r="G317" s="6" t="b">
        <v>1</v>
      </c>
      <c r="H317" s="2" t="s">
        <v>34</v>
      </c>
      <c r="I317" s="2" t="b">
        <v>0</v>
      </c>
      <c r="J317" s="2" t="s">
        <v>39</v>
      </c>
      <c r="K317" s="2" t="s">
        <v>59</v>
      </c>
      <c r="L317" s="2" t="b">
        <v>0</v>
      </c>
      <c r="M317" s="2"/>
      <c r="N317" s="2" t="s">
        <v>1041</v>
      </c>
      <c r="O317" s="2" t="s">
        <v>1042</v>
      </c>
      <c r="P317" s="13" t="s">
        <v>1043</v>
      </c>
    </row>
    <row r="318" spans="1:16" ht="159.94999999999999">
      <c r="A318" s="3" t="s">
        <v>1044</v>
      </c>
      <c r="B318" s="2" t="str">
        <f>TRIM(Table1[[#This Row],[Chat Name]])</f>
        <v>Giant Insect</v>
      </c>
      <c r="C318" s="2">
        <v>5</v>
      </c>
      <c r="D318" s="2">
        <v>21</v>
      </c>
      <c r="E318" s="2" t="s">
        <v>244</v>
      </c>
      <c r="F318" s="6" t="b">
        <v>1</v>
      </c>
      <c r="G318" s="6" t="b">
        <v>0</v>
      </c>
      <c r="H318" s="2" t="s">
        <v>34</v>
      </c>
      <c r="I318" s="2" t="b">
        <v>1</v>
      </c>
      <c r="J318" s="2" t="s">
        <v>301</v>
      </c>
      <c r="K318" s="2" t="s">
        <v>52</v>
      </c>
      <c r="L318" s="2" t="b">
        <v>0</v>
      </c>
      <c r="M318" s="2" t="s">
        <v>1045</v>
      </c>
      <c r="N318" s="2" t="s">
        <v>1046</v>
      </c>
      <c r="O318" s="2"/>
    </row>
    <row r="319" spans="1:16" ht="24.6">
      <c r="A319" s="3" t="s">
        <v>1047</v>
      </c>
      <c r="B319" s="2" t="str">
        <f>TRIM(Table1[[#This Row],[Chat Name]])</f>
        <v>Gift of Alacrity</v>
      </c>
      <c r="C319" s="2">
        <v>1</v>
      </c>
      <c r="D319" s="2">
        <v>3</v>
      </c>
      <c r="E319" s="2" t="s">
        <v>30</v>
      </c>
      <c r="F319" s="6" t="b">
        <v>0</v>
      </c>
      <c r="G319" s="6" t="b">
        <v>1</v>
      </c>
      <c r="H319" s="2" t="s">
        <v>39</v>
      </c>
      <c r="I319" s="2" t="b">
        <v>0</v>
      </c>
      <c r="J319" s="2" t="s">
        <v>40</v>
      </c>
      <c r="K319" s="2" t="s">
        <v>110</v>
      </c>
      <c r="L319" s="2" t="b">
        <v>0</v>
      </c>
      <c r="M319" s="2" t="s">
        <v>1048</v>
      </c>
      <c r="N319" s="2" t="s">
        <v>1048</v>
      </c>
      <c r="O319" s="2"/>
    </row>
    <row r="320" spans="1:16" ht="73.900000000000006">
      <c r="A320" s="3" t="s">
        <v>1049</v>
      </c>
      <c r="B320" s="2" t="str">
        <f>TRIM(Table1[[#This Row],[Chat Name]])</f>
        <v>Gift of Gab</v>
      </c>
      <c r="C320" s="2">
        <v>2</v>
      </c>
      <c r="D320" s="2">
        <v>6</v>
      </c>
      <c r="E320" s="2" t="s">
        <v>73</v>
      </c>
      <c r="F320" s="6" t="b">
        <v>0</v>
      </c>
      <c r="G320" s="6" t="b">
        <v>1</v>
      </c>
      <c r="H320" s="2" t="s">
        <v>1050</v>
      </c>
      <c r="I320" s="2" t="b">
        <v>0</v>
      </c>
      <c r="J320" s="2" t="s">
        <v>19</v>
      </c>
      <c r="K320" s="2" t="s">
        <v>59</v>
      </c>
      <c r="L320" s="2" t="b">
        <v>0</v>
      </c>
      <c r="M320" s="2" t="s">
        <v>1051</v>
      </c>
      <c r="N320" s="2" t="s">
        <v>1052</v>
      </c>
      <c r="O320" s="2"/>
    </row>
    <row r="321" spans="1:16" ht="49.15">
      <c r="A321" s="3" t="s">
        <v>1053</v>
      </c>
      <c r="B321" s="2" t="str">
        <f>TRIM(Table1[[#This Row],[Chat Name]])</f>
        <v>Glibness</v>
      </c>
      <c r="C321" s="2">
        <v>10</v>
      </c>
      <c r="D321" s="2">
        <v>66</v>
      </c>
      <c r="E321" s="2" t="s">
        <v>96</v>
      </c>
      <c r="F321" s="6" t="b">
        <v>0</v>
      </c>
      <c r="G321" s="6" t="b">
        <v>1</v>
      </c>
      <c r="H321" s="2" t="s">
        <v>34</v>
      </c>
      <c r="I321" s="2" t="b">
        <v>0</v>
      </c>
      <c r="J321" s="2" t="s">
        <v>35</v>
      </c>
      <c r="K321" s="2" t="s">
        <v>59</v>
      </c>
      <c r="L321" s="2" t="b">
        <v>0</v>
      </c>
      <c r="M321" s="2" t="s">
        <v>1054</v>
      </c>
      <c r="N321" s="2" t="s">
        <v>1055</v>
      </c>
      <c r="O321" s="2"/>
    </row>
    <row r="322" spans="1:16" ht="98.45">
      <c r="A322" s="3" t="s">
        <v>1056</v>
      </c>
      <c r="B322" s="2" t="str">
        <f>TRIM(Table1[[#This Row],[Chat Name]])</f>
        <v>Globe of Invulnerability</v>
      </c>
      <c r="C322" s="2">
        <v>8</v>
      </c>
      <c r="D322" s="2">
        <v>45</v>
      </c>
      <c r="E322" s="2" t="s">
        <v>80</v>
      </c>
      <c r="F322" s="6" t="b">
        <v>1</v>
      </c>
      <c r="G322" s="6" t="b">
        <v>0</v>
      </c>
      <c r="H322" s="2" t="s">
        <v>34</v>
      </c>
      <c r="I322" s="2" t="b">
        <v>1</v>
      </c>
      <c r="J322" s="2" t="s">
        <v>272</v>
      </c>
      <c r="K322" s="2" t="s">
        <v>280</v>
      </c>
      <c r="L322" s="2" t="b">
        <v>0</v>
      </c>
      <c r="M322" s="2" t="s">
        <v>1057</v>
      </c>
      <c r="N322" s="2" t="s">
        <v>1058</v>
      </c>
      <c r="O322" s="2" t="s">
        <v>1059</v>
      </c>
      <c r="P322" s="13" t="s">
        <v>1059</v>
      </c>
    </row>
    <row r="323" spans="1:16" ht="409.5">
      <c r="A323" s="3" t="s">
        <v>1060</v>
      </c>
      <c r="B323" s="2" t="str">
        <f>TRIM(Table1[[#This Row],[Chat Name]])</f>
        <v>Glyph of Warding</v>
      </c>
      <c r="C323" s="2">
        <v>5</v>
      </c>
      <c r="D323" s="2">
        <v>21</v>
      </c>
      <c r="E323" s="2" t="s">
        <v>30</v>
      </c>
      <c r="F323" s="6" t="b">
        <v>0</v>
      </c>
      <c r="G323" s="6" t="b">
        <v>1</v>
      </c>
      <c r="H323" s="2" t="s">
        <v>35</v>
      </c>
      <c r="I323" s="2" t="b">
        <v>0</v>
      </c>
      <c r="J323" s="2" t="s">
        <v>1061</v>
      </c>
      <c r="K323" s="2" t="s">
        <v>110</v>
      </c>
      <c r="L323" s="2" t="b">
        <v>0</v>
      </c>
      <c r="M323" s="2" t="s">
        <v>1062</v>
      </c>
      <c r="N323" s="2" t="s">
        <v>1063</v>
      </c>
      <c r="O323" s="2" t="s">
        <v>1064</v>
      </c>
      <c r="P323" s="13" t="s">
        <v>1064</v>
      </c>
    </row>
    <row r="324" spans="1:16" ht="73.900000000000006">
      <c r="A324" s="3" t="s">
        <v>1065</v>
      </c>
      <c r="B324" s="2" t="str">
        <f>TRIM(Table1[[#This Row],[Chat Name]])</f>
        <v>Goodberry</v>
      </c>
      <c r="C324" s="2">
        <v>1</v>
      </c>
      <c r="D324" s="2">
        <v>3</v>
      </c>
      <c r="E324" s="2" t="s">
        <v>244</v>
      </c>
      <c r="F324" s="6" t="b">
        <v>1</v>
      </c>
      <c r="G324" s="6" t="b">
        <v>0</v>
      </c>
      <c r="H324" s="2" t="s">
        <v>34</v>
      </c>
      <c r="I324" s="2" t="b">
        <v>0</v>
      </c>
      <c r="J324" s="2" t="s">
        <v>19</v>
      </c>
      <c r="K324" s="2" t="s">
        <v>110</v>
      </c>
      <c r="L324" s="2" t="b">
        <v>0</v>
      </c>
      <c r="M324" s="2" t="s">
        <v>1066</v>
      </c>
      <c r="N324" s="2" t="s">
        <v>1067</v>
      </c>
      <c r="O324" s="2"/>
    </row>
    <row r="325" spans="1:16" ht="172.15">
      <c r="A325" s="3" t="s">
        <v>1068</v>
      </c>
      <c r="B325" s="2" t="str">
        <f>TRIM(Table1[[#This Row],[Chat Name]])</f>
        <v>Grasping Shadow</v>
      </c>
      <c r="C325" s="2">
        <v>3</v>
      </c>
      <c r="D325" s="2">
        <v>9</v>
      </c>
      <c r="E325" s="2" t="s">
        <v>23</v>
      </c>
      <c r="F325" s="7" t="b">
        <v>1</v>
      </c>
      <c r="G325" s="7" t="b">
        <v>0</v>
      </c>
      <c r="H325" s="2" t="s">
        <v>34</v>
      </c>
      <c r="I325" s="2" t="b">
        <v>1</v>
      </c>
      <c r="J325" s="2" t="s">
        <v>39</v>
      </c>
      <c r="K325" s="2" t="s">
        <v>52</v>
      </c>
      <c r="L325" s="2" t="b">
        <v>0</v>
      </c>
      <c r="M325" s="2"/>
      <c r="N325" s="2" t="s">
        <v>1069</v>
      </c>
      <c r="O325" s="2" t="s">
        <v>1070</v>
      </c>
      <c r="P325" s="13" t="s">
        <v>1070</v>
      </c>
    </row>
    <row r="326" spans="1:16" ht="98.45">
      <c r="A326" s="3" t="s">
        <v>1071</v>
      </c>
      <c r="B326" s="2" t="str">
        <f>TRIM(Table1[[#This Row],[Chat Name]])</f>
        <v>Grasping Vine</v>
      </c>
      <c r="C326" s="2">
        <v>5</v>
      </c>
      <c r="D326" s="2">
        <v>21</v>
      </c>
      <c r="E326" s="2" t="s">
        <v>244</v>
      </c>
      <c r="F326" s="6" t="b">
        <v>1</v>
      </c>
      <c r="G326" s="6" t="b">
        <v>0</v>
      </c>
      <c r="H326" s="2" t="s">
        <v>31</v>
      </c>
      <c r="I326" s="2" t="b">
        <v>1</v>
      </c>
      <c r="J326" s="2" t="s">
        <v>272</v>
      </c>
      <c r="K326" s="2" t="s">
        <v>52</v>
      </c>
      <c r="L326" s="2" t="b">
        <v>0</v>
      </c>
      <c r="M326" s="2" t="s">
        <v>1072</v>
      </c>
      <c r="N326" s="2" t="s">
        <v>1073</v>
      </c>
      <c r="O326" s="2"/>
    </row>
    <row r="327" spans="1:16" ht="98.45">
      <c r="A327" s="3" t="s">
        <v>1074</v>
      </c>
      <c r="B327" s="2" t="str">
        <f>TRIM(Table1[[#This Row],[Chat Name]])</f>
        <v>Gravity Fissure</v>
      </c>
      <c r="C327" s="2">
        <v>8</v>
      </c>
      <c r="D327" s="2">
        <v>45</v>
      </c>
      <c r="E327" s="2" t="s">
        <v>30</v>
      </c>
      <c r="F327" s="6" t="b">
        <v>0</v>
      </c>
      <c r="G327" s="6" t="b">
        <v>1</v>
      </c>
      <c r="H327" s="2" t="s">
        <v>34</v>
      </c>
      <c r="I327" s="2" t="b">
        <v>0</v>
      </c>
      <c r="J327" s="2" t="s">
        <v>19</v>
      </c>
      <c r="K327" s="2" t="s">
        <v>940</v>
      </c>
      <c r="L327" s="2" t="b">
        <v>0</v>
      </c>
      <c r="M327" s="2" t="s">
        <v>1075</v>
      </c>
      <c r="N327" s="2" t="s">
        <v>1075</v>
      </c>
      <c r="O327" s="2" t="s">
        <v>1076</v>
      </c>
      <c r="P327" s="13" t="s">
        <v>1076</v>
      </c>
    </row>
    <row r="328" spans="1:16" ht="98.45">
      <c r="A328" s="3" t="s">
        <v>1077</v>
      </c>
      <c r="B328" s="2" t="str">
        <f>TRIM(Table1[[#This Row],[Chat Name]])</f>
        <v>Gravity Sinkhole</v>
      </c>
      <c r="C328" s="2">
        <v>5</v>
      </c>
      <c r="D328" s="2">
        <v>21</v>
      </c>
      <c r="E328" s="2" t="s">
        <v>30</v>
      </c>
      <c r="F328" s="6" t="b">
        <v>0</v>
      </c>
      <c r="G328" s="6" t="b">
        <v>1</v>
      </c>
      <c r="H328" s="2" t="s">
        <v>34</v>
      </c>
      <c r="I328" s="2" t="b">
        <v>0</v>
      </c>
      <c r="J328" s="2" t="s">
        <v>19</v>
      </c>
      <c r="K328" s="2" t="s">
        <v>160</v>
      </c>
      <c r="L328" s="2" t="b">
        <v>0</v>
      </c>
      <c r="M328" s="2" t="s">
        <v>1078</v>
      </c>
      <c r="N328" s="2" t="s">
        <v>1078</v>
      </c>
      <c r="O328" s="2" t="s">
        <v>1079</v>
      </c>
      <c r="P328" s="13" t="s">
        <v>1079</v>
      </c>
    </row>
    <row r="329" spans="1:16" ht="73.900000000000006">
      <c r="A329" s="3" t="s">
        <v>1080</v>
      </c>
      <c r="B329" s="2" t="str">
        <f>TRIM(Table1[[#This Row],[Chat Name]])</f>
        <v>Grease</v>
      </c>
      <c r="C329" s="2">
        <v>1</v>
      </c>
      <c r="D329" s="2">
        <v>3</v>
      </c>
      <c r="E329" s="2" t="s">
        <v>96</v>
      </c>
      <c r="F329" s="6" t="b">
        <v>0</v>
      </c>
      <c r="G329" s="6" t="b">
        <v>1</v>
      </c>
      <c r="H329" s="2" t="s">
        <v>34</v>
      </c>
      <c r="I329" s="2" t="b">
        <v>0</v>
      </c>
      <c r="J329" s="2" t="s">
        <v>39</v>
      </c>
      <c r="K329" s="2" t="s">
        <v>56</v>
      </c>
      <c r="L329" s="2" t="b">
        <v>0</v>
      </c>
      <c r="M329" s="2" t="s">
        <v>1081</v>
      </c>
      <c r="N329" s="2" t="s">
        <v>1082</v>
      </c>
      <c r="O329" s="2"/>
    </row>
    <row r="330" spans="1:16" ht="36.950000000000003">
      <c r="A330" s="3" t="s">
        <v>1083</v>
      </c>
      <c r="B330" s="2" t="str">
        <f>TRIM(Table1[[#This Row],[Chat Name]])</f>
        <v>Greater Invisibility</v>
      </c>
      <c r="C330" s="2">
        <v>5</v>
      </c>
      <c r="D330" s="2">
        <v>21</v>
      </c>
      <c r="E330" s="2" t="s">
        <v>30</v>
      </c>
      <c r="F330" s="6" t="b">
        <v>0</v>
      </c>
      <c r="G330" s="6" t="b">
        <v>1</v>
      </c>
      <c r="H330" s="2" t="s">
        <v>34</v>
      </c>
      <c r="I330" s="2" t="b">
        <v>1</v>
      </c>
      <c r="J330" s="2" t="s">
        <v>272</v>
      </c>
      <c r="K330" s="2" t="s">
        <v>110</v>
      </c>
      <c r="L330" s="2" t="b">
        <v>0</v>
      </c>
      <c r="M330" s="2" t="s">
        <v>1084</v>
      </c>
      <c r="N330" s="2" t="s">
        <v>1085</v>
      </c>
      <c r="O330" s="2"/>
    </row>
    <row r="331" spans="1:16" ht="86.1">
      <c r="A331" s="3" t="s">
        <v>1086</v>
      </c>
      <c r="B331" s="2" t="str">
        <f>TRIM(Table1[[#This Row],[Chat Name]])</f>
        <v>Greater Restoration</v>
      </c>
      <c r="C331" s="2">
        <v>7</v>
      </c>
      <c r="D331" s="2">
        <v>36</v>
      </c>
      <c r="E331" s="2" t="s">
        <v>80</v>
      </c>
      <c r="F331" s="6" t="b">
        <v>1</v>
      </c>
      <c r="G331" s="6" t="b">
        <v>0</v>
      </c>
      <c r="H331" s="2" t="s">
        <v>34</v>
      </c>
      <c r="I331" s="2" t="b">
        <v>0</v>
      </c>
      <c r="J331" s="2" t="s">
        <v>19</v>
      </c>
      <c r="K331" s="2" t="s">
        <v>110</v>
      </c>
      <c r="L331" s="2" t="b">
        <v>0</v>
      </c>
      <c r="M331" s="2" t="s">
        <v>1087</v>
      </c>
      <c r="N331" s="2" t="s">
        <v>1087</v>
      </c>
      <c r="O331" s="2"/>
    </row>
    <row r="332" spans="1:16" ht="147.6">
      <c r="A332" s="3" t="s">
        <v>1088</v>
      </c>
      <c r="B332" s="2" t="str">
        <f>TRIM(Table1[[#This Row],[Chat Name]])</f>
        <v>Green-Flame Blade</v>
      </c>
      <c r="C332" s="2">
        <v>0</v>
      </c>
      <c r="D332" s="2">
        <v>0</v>
      </c>
      <c r="E332" s="2" t="s">
        <v>153</v>
      </c>
      <c r="F332" s="6" t="b">
        <v>1</v>
      </c>
      <c r="G332" s="6" t="b">
        <v>0</v>
      </c>
      <c r="H332" s="2" t="s">
        <v>34</v>
      </c>
      <c r="I332" s="2" t="b">
        <v>0</v>
      </c>
      <c r="J332" s="2" t="s">
        <v>19</v>
      </c>
      <c r="K332" s="2" t="s">
        <v>415</v>
      </c>
      <c r="L332" s="2" t="b">
        <v>0</v>
      </c>
      <c r="M332" s="2" t="s">
        <v>1089</v>
      </c>
      <c r="N332" s="2" t="s">
        <v>1090</v>
      </c>
      <c r="O332" s="2"/>
    </row>
    <row r="333" spans="1:16" ht="86.1">
      <c r="A333" s="3" t="s">
        <v>1091</v>
      </c>
      <c r="B333" s="2" t="str">
        <f>TRIM(Table1[[#This Row],[Chat Name]])</f>
        <v>Tasha's Caustic Brew</v>
      </c>
      <c r="C333" s="2">
        <v>1</v>
      </c>
      <c r="D333" s="2">
        <v>3</v>
      </c>
      <c r="E333" s="2" t="s">
        <v>96</v>
      </c>
      <c r="F333" s="6" t="b">
        <v>0</v>
      </c>
      <c r="G333" s="6" t="b">
        <v>1</v>
      </c>
      <c r="H333" s="2" t="s">
        <v>34</v>
      </c>
      <c r="I333" s="2" t="b">
        <v>1</v>
      </c>
      <c r="J333" s="2" t="s">
        <v>272</v>
      </c>
      <c r="K333" s="2" t="s">
        <v>1092</v>
      </c>
      <c r="L333" s="2" t="b">
        <v>0</v>
      </c>
      <c r="M333" s="2" t="s">
        <v>1093</v>
      </c>
      <c r="N333" s="2" t="s">
        <v>1094</v>
      </c>
      <c r="O333" s="2" t="s">
        <v>1095</v>
      </c>
      <c r="P333" s="13" t="s">
        <v>1095</v>
      </c>
    </row>
    <row r="334" spans="1:16" ht="184.5">
      <c r="A334" s="3" t="s">
        <v>1096</v>
      </c>
      <c r="B334" s="2" t="str">
        <f>TRIM(Table1[[#This Row],[Chat Name]])</f>
        <v>Guardian of Nature</v>
      </c>
      <c r="C334" s="2">
        <v>5</v>
      </c>
      <c r="D334" s="2">
        <v>21</v>
      </c>
      <c r="E334" s="2" t="s">
        <v>244</v>
      </c>
      <c r="F334" s="6" t="b">
        <v>1</v>
      </c>
      <c r="G334" s="6" t="b">
        <v>0</v>
      </c>
      <c r="H334" s="2" t="s">
        <v>31</v>
      </c>
      <c r="I334" s="2" t="b">
        <v>1</v>
      </c>
      <c r="J334" s="2" t="s">
        <v>272</v>
      </c>
      <c r="K334" s="2" t="s">
        <v>59</v>
      </c>
      <c r="L334" s="2" t="b">
        <v>0</v>
      </c>
      <c r="M334" s="2" t="s">
        <v>1097</v>
      </c>
      <c r="N334" s="2" t="s">
        <v>1098</v>
      </c>
      <c r="O334" s="2"/>
    </row>
    <row r="335" spans="1:16" ht="409.5">
      <c r="A335" s="3" t="s">
        <v>1099</v>
      </c>
      <c r="B335" s="2" t="str">
        <f>TRIM(Table1[[#This Row],[Chat Name]])</f>
        <v>Druid Grove</v>
      </c>
      <c r="C335" s="2">
        <v>8</v>
      </c>
      <c r="D335" s="2">
        <v>45</v>
      </c>
      <c r="E335" s="2" t="s">
        <v>244</v>
      </c>
      <c r="F335" s="6" t="b">
        <v>1</v>
      </c>
      <c r="G335" s="6" t="b">
        <v>0</v>
      </c>
      <c r="H335" s="2" t="s">
        <v>18</v>
      </c>
      <c r="I335" s="2" t="b">
        <v>0</v>
      </c>
      <c r="J335" s="2" t="s">
        <v>232</v>
      </c>
      <c r="K335" s="2" t="s">
        <v>110</v>
      </c>
      <c r="L335" s="2" t="b">
        <v>0</v>
      </c>
      <c r="M335" s="2" t="s">
        <v>1100</v>
      </c>
      <c r="N335" s="2" t="s">
        <v>1101</v>
      </c>
      <c r="O335" s="2"/>
    </row>
    <row r="336" spans="1:16" ht="409.5">
      <c r="A336" s="3" t="s">
        <v>1102</v>
      </c>
      <c r="B336" s="2" t="str">
        <f>TRIM(Table1[[#This Row],[Chat Name]])</f>
        <v>Guards and Wards</v>
      </c>
      <c r="C336" s="2">
        <v>8</v>
      </c>
      <c r="D336" s="2">
        <v>45</v>
      </c>
      <c r="E336" s="2" t="s">
        <v>30</v>
      </c>
      <c r="F336" s="6" t="b">
        <v>0</v>
      </c>
      <c r="G336" s="6" t="b">
        <v>1</v>
      </c>
      <c r="H336" s="2" t="s">
        <v>18</v>
      </c>
      <c r="I336" s="2" t="b">
        <v>0</v>
      </c>
      <c r="J336" s="2" t="s">
        <v>232</v>
      </c>
      <c r="K336" s="2" t="s">
        <v>110</v>
      </c>
      <c r="L336" s="2" t="b">
        <v>0</v>
      </c>
      <c r="M336" s="2" t="s">
        <v>1103</v>
      </c>
      <c r="N336" s="2" t="s">
        <v>1104</v>
      </c>
      <c r="O336" s="2"/>
    </row>
    <row r="337" spans="1:16" ht="49.15">
      <c r="A337" s="3" t="s">
        <v>1105</v>
      </c>
      <c r="B337" s="2" t="str">
        <f>TRIM(Table1[[#This Row],[Chat Name]])</f>
        <v>Guidance</v>
      </c>
      <c r="C337" s="2">
        <v>0</v>
      </c>
      <c r="D337" s="2">
        <v>0</v>
      </c>
      <c r="E337" s="2" t="s">
        <v>80</v>
      </c>
      <c r="F337" s="6" t="b">
        <v>1</v>
      </c>
      <c r="G337" s="6" t="b">
        <v>0</v>
      </c>
      <c r="H337" s="2" t="s">
        <v>34</v>
      </c>
      <c r="I337" s="2" t="b">
        <v>1</v>
      </c>
      <c r="J337" s="2" t="s">
        <v>272</v>
      </c>
      <c r="K337" s="2" t="s">
        <v>110</v>
      </c>
      <c r="L337" s="2" t="b">
        <v>0</v>
      </c>
      <c r="M337" s="2" t="s">
        <v>1106</v>
      </c>
      <c r="N337" s="2" t="s">
        <v>1107</v>
      </c>
      <c r="O337" s="2" t="s">
        <v>1108</v>
      </c>
      <c r="P337" s="13" t="s">
        <v>1109</v>
      </c>
    </row>
    <row r="338" spans="1:16" ht="73.900000000000006">
      <c r="A338" s="3" t="s">
        <v>1110</v>
      </c>
      <c r="B338" s="2" t="str">
        <f>TRIM(Table1[[#This Row],[Chat Name]])</f>
        <v>Guiding Bolt</v>
      </c>
      <c r="C338" s="2">
        <v>1</v>
      </c>
      <c r="D338" s="2">
        <v>3</v>
      </c>
      <c r="E338" s="2" t="s">
        <v>23</v>
      </c>
      <c r="F338" s="6" t="b">
        <v>1</v>
      </c>
      <c r="G338" s="6" t="b">
        <v>0</v>
      </c>
      <c r="H338" s="2" t="s">
        <v>34</v>
      </c>
      <c r="I338" s="2" t="b">
        <v>0</v>
      </c>
      <c r="J338" s="2" t="s">
        <v>19</v>
      </c>
      <c r="K338" s="2" t="s">
        <v>160</v>
      </c>
      <c r="L338" s="2" t="b">
        <v>0</v>
      </c>
      <c r="M338" s="2" t="s">
        <v>1111</v>
      </c>
      <c r="N338" s="2" t="s">
        <v>1112</v>
      </c>
      <c r="O338" s="2" t="s">
        <v>435</v>
      </c>
      <c r="P338" s="13" t="s">
        <v>435</v>
      </c>
    </row>
    <row r="339" spans="1:16" ht="135.4">
      <c r="A339" s="3" t="s">
        <v>1113</v>
      </c>
      <c r="B339" s="2" t="str">
        <f>TRIM(Table1[[#This Row],[Chat Name]])</f>
        <v>Gust</v>
      </c>
      <c r="C339" s="2">
        <v>0</v>
      </c>
      <c r="D339" s="2">
        <v>0</v>
      </c>
      <c r="E339" s="2" t="s">
        <v>244</v>
      </c>
      <c r="F339" s="6" t="b">
        <v>1</v>
      </c>
      <c r="G339" s="6" t="b">
        <v>0</v>
      </c>
      <c r="H339" s="2" t="s">
        <v>34</v>
      </c>
      <c r="I339" s="2" t="b">
        <v>0</v>
      </c>
      <c r="J339" s="2" t="s">
        <v>19</v>
      </c>
      <c r="K339" s="2" t="s">
        <v>52</v>
      </c>
      <c r="L339" s="2" t="b">
        <v>0</v>
      </c>
      <c r="M339" s="2" t="s">
        <v>1114</v>
      </c>
      <c r="N339" s="2" t="s">
        <v>1114</v>
      </c>
      <c r="O339" s="2"/>
    </row>
    <row r="340" spans="1:16" ht="159.94999999999999">
      <c r="A340" s="3" t="s">
        <v>1115</v>
      </c>
      <c r="B340" s="2" t="str">
        <f>TRIM(Table1[[#This Row],[Chat Name]])</f>
        <v>Gust of Wind</v>
      </c>
      <c r="C340" s="2">
        <v>2</v>
      </c>
      <c r="D340" s="2">
        <v>6</v>
      </c>
      <c r="E340" s="2" t="s">
        <v>244</v>
      </c>
      <c r="F340" s="6" t="b">
        <v>1</v>
      </c>
      <c r="G340" s="6" t="b">
        <v>0</v>
      </c>
      <c r="H340" s="2" t="s">
        <v>34</v>
      </c>
      <c r="I340" s="2" t="b">
        <v>1</v>
      </c>
      <c r="J340" s="2" t="s">
        <v>272</v>
      </c>
      <c r="K340" s="2" t="s">
        <v>1116</v>
      </c>
      <c r="L340" s="2" t="b">
        <v>0</v>
      </c>
      <c r="M340" s="2" t="s">
        <v>1117</v>
      </c>
      <c r="N340" s="2" t="s">
        <v>1118</v>
      </c>
      <c r="O340" s="2"/>
    </row>
    <row r="341" spans="1:16" ht="86.1">
      <c r="A341" s="3" t="s">
        <v>1119</v>
      </c>
      <c r="B341" s="2" t="str">
        <f>TRIM(Table1[[#This Row],[Chat Name]])</f>
        <v>Hail of Thorns</v>
      </c>
      <c r="C341" s="2">
        <v>1</v>
      </c>
      <c r="D341" s="2">
        <v>3</v>
      </c>
      <c r="E341" s="2" t="s">
        <v>244</v>
      </c>
      <c r="F341" s="6" t="b">
        <v>1</v>
      </c>
      <c r="G341" s="6" t="b">
        <v>0</v>
      </c>
      <c r="H341" s="2" t="s">
        <v>31</v>
      </c>
      <c r="I341" s="2" t="b">
        <v>1</v>
      </c>
      <c r="J341" s="2" t="s">
        <v>272</v>
      </c>
      <c r="K341" s="2" t="s">
        <v>59</v>
      </c>
      <c r="L341" s="2" t="b">
        <v>0</v>
      </c>
      <c r="M341" s="2" t="s">
        <v>1120</v>
      </c>
      <c r="N341" s="2" t="s">
        <v>1121</v>
      </c>
      <c r="O341" s="2" t="s">
        <v>1122</v>
      </c>
      <c r="P341" s="13" t="s">
        <v>1123</v>
      </c>
    </row>
    <row r="342" spans="1:16" ht="409.5">
      <c r="A342" s="3" t="s">
        <v>1124</v>
      </c>
      <c r="B342" s="2" t="str">
        <f>TRIM(Table1[[#This Row],[Chat Name]])</f>
        <v>Hallow</v>
      </c>
      <c r="C342" s="2">
        <v>7</v>
      </c>
      <c r="D342" s="2">
        <v>36</v>
      </c>
      <c r="E342" s="2" t="s">
        <v>80</v>
      </c>
      <c r="F342" s="6" t="b">
        <v>1</v>
      </c>
      <c r="G342" s="6" t="b">
        <v>0</v>
      </c>
      <c r="H342" s="2" t="s">
        <v>232</v>
      </c>
      <c r="I342" s="2" t="b">
        <v>0</v>
      </c>
      <c r="J342" s="2" t="s">
        <v>307</v>
      </c>
      <c r="K342" s="2" t="s">
        <v>110</v>
      </c>
      <c r="L342" s="2" t="b">
        <v>0</v>
      </c>
      <c r="M342" s="2" t="s">
        <v>1125</v>
      </c>
      <c r="N342" s="2" t="s">
        <v>1126</v>
      </c>
      <c r="O342" s="2"/>
    </row>
    <row r="343" spans="1:16" ht="184.5">
      <c r="A343" s="3" t="s">
        <v>1127</v>
      </c>
      <c r="B343" s="2" t="str">
        <f>TRIM(Table1[[#This Row],[Chat Name]])</f>
        <v>Hallucinatory Terrain</v>
      </c>
      <c r="C343" s="2">
        <v>5</v>
      </c>
      <c r="D343" s="2">
        <v>21</v>
      </c>
      <c r="E343" s="2" t="s">
        <v>73</v>
      </c>
      <c r="F343" s="6" t="b">
        <v>0</v>
      </c>
      <c r="G343" s="6" t="b">
        <v>1</v>
      </c>
      <c r="H343" s="2" t="s">
        <v>18</v>
      </c>
      <c r="I343" s="2" t="b">
        <v>0</v>
      </c>
      <c r="J343" s="2" t="s">
        <v>232</v>
      </c>
      <c r="K343" s="2" t="s">
        <v>102</v>
      </c>
      <c r="L343" s="2" t="b">
        <v>0</v>
      </c>
      <c r="M343" s="2" t="s">
        <v>1128</v>
      </c>
      <c r="N343" s="2" t="s">
        <v>1129</v>
      </c>
      <c r="O343" s="2"/>
    </row>
    <row r="344" spans="1:16" ht="110.65">
      <c r="A344" s="3" t="s">
        <v>1130</v>
      </c>
      <c r="B344" s="2" t="str">
        <f>TRIM(Table1[[#This Row],[Chat Name]])</f>
        <v>Harm</v>
      </c>
      <c r="C344" s="2">
        <v>8</v>
      </c>
      <c r="D344" s="2">
        <v>45</v>
      </c>
      <c r="E344" s="2" t="s">
        <v>17</v>
      </c>
      <c r="F344" s="6" t="b">
        <v>0</v>
      </c>
      <c r="G344" s="6" t="b">
        <v>1</v>
      </c>
      <c r="H344" s="2" t="s">
        <v>34</v>
      </c>
      <c r="I344" s="2" t="b">
        <v>0</v>
      </c>
      <c r="J344" s="2" t="s">
        <v>19</v>
      </c>
      <c r="K344" s="2" t="s">
        <v>56</v>
      </c>
      <c r="L344" s="2" t="b">
        <v>0</v>
      </c>
      <c r="M344" s="2" t="s">
        <v>1131</v>
      </c>
      <c r="N344" s="2" t="s">
        <v>1131</v>
      </c>
      <c r="O344" s="2"/>
    </row>
    <row r="345" spans="1:16" ht="57.6">
      <c r="A345" s="3" t="s">
        <v>1132</v>
      </c>
      <c r="B345" s="2" t="str">
        <f>TRIM(Table1[[#This Row],[Chat Name]])</f>
        <v>Bless</v>
      </c>
      <c r="C345" s="2">
        <v>1</v>
      </c>
      <c r="D345" s="2">
        <v>3</v>
      </c>
      <c r="E345" s="2" t="s">
        <v>80</v>
      </c>
      <c r="F345" s="6" t="b">
        <v>1</v>
      </c>
      <c r="G345" s="6" t="b">
        <v>0</v>
      </c>
      <c r="H345" s="2" t="s">
        <v>34</v>
      </c>
      <c r="I345" s="2" t="b">
        <v>1</v>
      </c>
      <c r="J345" s="2" t="s">
        <v>272</v>
      </c>
      <c r="K345" s="2" t="s">
        <v>52</v>
      </c>
      <c r="L345" s="2" t="b">
        <v>0</v>
      </c>
      <c r="M345" s="2" t="s">
        <v>1133</v>
      </c>
      <c r="N345" s="2" t="s">
        <v>1134</v>
      </c>
      <c r="O345" s="2" t="s">
        <v>341</v>
      </c>
      <c r="P345" s="13" t="s">
        <v>341</v>
      </c>
    </row>
    <row r="346" spans="1:16" ht="98.45">
      <c r="A346" s="3" t="s">
        <v>1135</v>
      </c>
      <c r="B346" s="2" t="str">
        <f>TRIM(Table1[[#This Row],[Chat Name]])</f>
        <v>Haste</v>
      </c>
      <c r="C346" s="2">
        <v>4</v>
      </c>
      <c r="D346" s="2">
        <v>15</v>
      </c>
      <c r="E346" s="2" t="s">
        <v>244</v>
      </c>
      <c r="F346" s="6" t="b">
        <v>1</v>
      </c>
      <c r="G346" s="6" t="b">
        <v>0</v>
      </c>
      <c r="H346" s="2" t="s">
        <v>34</v>
      </c>
      <c r="I346" s="2" t="b">
        <v>1</v>
      </c>
      <c r="J346" s="2" t="s">
        <v>272</v>
      </c>
      <c r="K346" s="2" t="s">
        <v>52</v>
      </c>
      <c r="L346" s="2" t="b">
        <v>0</v>
      </c>
      <c r="M346" s="2" t="s">
        <v>1136</v>
      </c>
      <c r="N346" s="2" t="s">
        <v>1137</v>
      </c>
      <c r="O346" s="2"/>
    </row>
    <row r="347" spans="1:16" ht="61.5">
      <c r="A347" s="3" t="s">
        <v>1138</v>
      </c>
      <c r="B347" s="2" t="str">
        <f>TRIM(Table1[[#This Row],[Chat Name]])</f>
        <v>Heal</v>
      </c>
      <c r="C347" s="2">
        <v>8</v>
      </c>
      <c r="D347" s="2">
        <v>45</v>
      </c>
      <c r="E347" s="2" t="s">
        <v>80</v>
      </c>
      <c r="F347" s="6" t="b">
        <v>1</v>
      </c>
      <c r="G347" s="6" t="b">
        <v>0</v>
      </c>
      <c r="H347" s="2" t="s">
        <v>34</v>
      </c>
      <c r="I347" s="2" t="b">
        <v>0</v>
      </c>
      <c r="J347" s="2" t="s">
        <v>19</v>
      </c>
      <c r="K347" s="2" t="s">
        <v>56</v>
      </c>
      <c r="L347" s="2" t="b">
        <v>0</v>
      </c>
      <c r="M347" s="2" t="s">
        <v>1139</v>
      </c>
      <c r="N347" s="2" t="s">
        <v>1140</v>
      </c>
      <c r="O347" s="2" t="s">
        <v>1141</v>
      </c>
      <c r="P347" s="13" t="s">
        <v>1141</v>
      </c>
    </row>
    <row r="348" spans="1:16" ht="110.65">
      <c r="A348" s="3" t="s">
        <v>1142</v>
      </c>
      <c r="B348" s="2" t="str">
        <f>TRIM(Table1[[#This Row],[Chat Name]])</f>
        <v>Healing Spirit</v>
      </c>
      <c r="C348" s="2">
        <v>3</v>
      </c>
      <c r="D348" s="2">
        <v>9</v>
      </c>
      <c r="E348" s="2" t="s">
        <v>80</v>
      </c>
      <c r="F348" s="6" t="b">
        <v>1</v>
      </c>
      <c r="G348" s="6" t="b">
        <v>0</v>
      </c>
      <c r="H348" s="2" t="s">
        <v>31</v>
      </c>
      <c r="I348" s="2" t="b">
        <v>1</v>
      </c>
      <c r="J348" s="2" t="s">
        <v>272</v>
      </c>
      <c r="K348" s="2" t="s">
        <v>56</v>
      </c>
      <c r="L348" s="2" t="b">
        <v>0</v>
      </c>
      <c r="M348" s="2" t="s">
        <v>1143</v>
      </c>
      <c r="N348" s="2" t="s">
        <v>1144</v>
      </c>
      <c r="O348" s="2" t="s">
        <v>1145</v>
      </c>
      <c r="P348" s="13" t="s">
        <v>1145</v>
      </c>
    </row>
    <row r="349" spans="1:16" ht="57.6">
      <c r="A349" s="3" t="s">
        <v>1146</v>
      </c>
      <c r="B349" s="2" t="str">
        <f>TRIM(Table1[[#This Row],[Chat Name]])</f>
        <v>Healing Word</v>
      </c>
      <c r="C349" s="2">
        <v>1</v>
      </c>
      <c r="D349" s="2">
        <v>3</v>
      </c>
      <c r="E349" s="2" t="s">
        <v>80</v>
      </c>
      <c r="F349" s="6" t="b">
        <v>1</v>
      </c>
      <c r="G349" s="6" t="b">
        <v>0</v>
      </c>
      <c r="H349" s="2" t="s">
        <v>31</v>
      </c>
      <c r="I349" s="2" t="b">
        <v>0</v>
      </c>
      <c r="J349" s="2" t="s">
        <v>19</v>
      </c>
      <c r="K349" s="2" t="s">
        <v>56</v>
      </c>
      <c r="L349" s="2" t="b">
        <v>0</v>
      </c>
      <c r="M349" s="2" t="s">
        <v>1147</v>
      </c>
      <c r="N349" s="2" t="s">
        <v>1148</v>
      </c>
      <c r="O349" s="2" t="s">
        <v>1149</v>
      </c>
      <c r="P349" s="13" t="s">
        <v>1149</v>
      </c>
    </row>
    <row r="350" spans="1:16" ht="135.4">
      <c r="A350" s="3" t="s">
        <v>1150</v>
      </c>
      <c r="B350" s="2" t="str">
        <f>TRIM(Table1[[#This Row],[Chat Name]])</f>
        <v>Heat Metal</v>
      </c>
      <c r="C350" s="2">
        <v>3</v>
      </c>
      <c r="D350" s="2">
        <v>9</v>
      </c>
      <c r="E350" s="2" t="s">
        <v>153</v>
      </c>
      <c r="F350" s="6" t="b">
        <v>1</v>
      </c>
      <c r="G350" s="6" t="b">
        <v>0</v>
      </c>
      <c r="H350" s="2" t="s">
        <v>34</v>
      </c>
      <c r="I350" s="2" t="b">
        <v>1</v>
      </c>
      <c r="J350" s="2" t="s">
        <v>272</v>
      </c>
      <c r="K350" s="2" t="s">
        <v>56</v>
      </c>
      <c r="L350" s="2" t="b">
        <v>0</v>
      </c>
      <c r="M350" s="2" t="s">
        <v>1151</v>
      </c>
      <c r="N350" s="2" t="s">
        <v>1152</v>
      </c>
      <c r="O350" s="2" t="s">
        <v>798</v>
      </c>
      <c r="P350" s="13" t="s">
        <v>798</v>
      </c>
    </row>
    <row r="351" spans="1:16" ht="57.6">
      <c r="A351" s="3" t="s">
        <v>1153</v>
      </c>
      <c r="B351" s="2" t="str">
        <f>TRIM(Table1[[#This Row],[Chat Name]])</f>
        <v>Hellish Rebuke</v>
      </c>
      <c r="C351" s="2">
        <v>1</v>
      </c>
      <c r="D351" s="2">
        <v>3</v>
      </c>
      <c r="E351" s="2" t="s">
        <v>153</v>
      </c>
      <c r="F351" s="6" t="b">
        <v>1</v>
      </c>
      <c r="G351" s="6" t="b">
        <v>0</v>
      </c>
      <c r="H351" s="2" t="s">
        <v>1154</v>
      </c>
      <c r="I351" s="2" t="b">
        <v>0</v>
      </c>
      <c r="J351" s="2" t="s">
        <v>19</v>
      </c>
      <c r="K351" s="2" t="s">
        <v>56</v>
      </c>
      <c r="L351" s="2" t="b">
        <v>0</v>
      </c>
      <c r="M351" s="2" t="s">
        <v>1155</v>
      </c>
      <c r="N351" s="2" t="s">
        <v>1156</v>
      </c>
      <c r="O351" s="2" t="s">
        <v>1157</v>
      </c>
      <c r="P351" s="13" t="s">
        <v>1157</v>
      </c>
    </row>
    <row r="352" spans="1:16" ht="123">
      <c r="A352" s="3" t="s">
        <v>1158</v>
      </c>
      <c r="B352" s="2" t="str">
        <f>TRIM(Table1[[#This Row],[Chat Name]])</f>
        <v>Mage Hand</v>
      </c>
      <c r="C352" s="2">
        <v>0</v>
      </c>
      <c r="D352" s="2">
        <v>0</v>
      </c>
      <c r="E352" s="2" t="s">
        <v>80</v>
      </c>
      <c r="F352" s="6" t="b">
        <v>1</v>
      </c>
      <c r="G352" s="6" t="b">
        <v>0</v>
      </c>
      <c r="H352" s="2" t="s">
        <v>34</v>
      </c>
      <c r="I352" s="2" t="b">
        <v>0</v>
      </c>
      <c r="J352" s="2" t="s">
        <v>272</v>
      </c>
      <c r="K352" s="2" t="s">
        <v>52</v>
      </c>
      <c r="L352" s="2" t="b">
        <v>0</v>
      </c>
      <c r="M352" s="2" t="s">
        <v>1159</v>
      </c>
      <c r="N352" s="2" t="s">
        <v>1160</v>
      </c>
      <c r="O352" s="2"/>
    </row>
    <row r="353" spans="1:16" ht="123">
      <c r="A353" s="3" t="s">
        <v>1161</v>
      </c>
      <c r="B353" s="2" t="str">
        <f>TRIM(Table1[[#This Row],[Chat Name]])</f>
        <v>Heroes' Feast</v>
      </c>
      <c r="C353" s="2">
        <v>9</v>
      </c>
      <c r="D353" s="2">
        <v>54</v>
      </c>
      <c r="E353" s="2" t="s">
        <v>244</v>
      </c>
      <c r="F353" s="6" t="b">
        <v>1</v>
      </c>
      <c r="G353" s="6" t="b">
        <v>0</v>
      </c>
      <c r="H353" s="2" t="s">
        <v>18</v>
      </c>
      <c r="I353" s="2" t="b">
        <v>0</v>
      </c>
      <c r="J353" s="2" t="s">
        <v>19</v>
      </c>
      <c r="K353" s="2" t="s">
        <v>52</v>
      </c>
      <c r="L353" s="2" t="b">
        <v>0</v>
      </c>
      <c r="M353" s="2" t="s">
        <v>1162</v>
      </c>
      <c r="N353" s="2" t="s">
        <v>1163</v>
      </c>
      <c r="O353" s="2"/>
    </row>
    <row r="354" spans="1:16" ht="73.900000000000006">
      <c r="A354" s="3" t="s">
        <v>1164</v>
      </c>
      <c r="B354" s="2" t="str">
        <f>TRIM(Table1[[#This Row],[Chat Name]])</f>
        <v>Heroism</v>
      </c>
      <c r="C354" s="2">
        <v>1</v>
      </c>
      <c r="D354" s="2">
        <v>3</v>
      </c>
      <c r="E354" s="2" t="s">
        <v>80</v>
      </c>
      <c r="F354" s="6" t="b">
        <v>1</v>
      </c>
      <c r="G354" s="6" t="b">
        <v>0</v>
      </c>
      <c r="H354" s="2" t="s">
        <v>34</v>
      </c>
      <c r="I354" s="2" t="b">
        <v>1</v>
      </c>
      <c r="J354" s="2" t="s">
        <v>272</v>
      </c>
      <c r="K354" s="2" t="s">
        <v>110</v>
      </c>
      <c r="L354" s="2" t="b">
        <v>0</v>
      </c>
      <c r="M354" s="2" t="s">
        <v>1165</v>
      </c>
      <c r="N354" s="2" t="s">
        <v>1166</v>
      </c>
      <c r="O354" s="2" t="s">
        <v>341</v>
      </c>
      <c r="P354" s="13" t="s">
        <v>341</v>
      </c>
    </row>
    <row r="355" spans="1:16" ht="123">
      <c r="A355" s="3" t="s">
        <v>1167</v>
      </c>
      <c r="B355" s="2" t="str">
        <f>TRIM(Table1[[#This Row],[Chat Name]])</f>
        <v>Tasha's Hideous Laughter</v>
      </c>
      <c r="C355" s="2">
        <v>1</v>
      </c>
      <c r="D355" s="2">
        <v>3</v>
      </c>
      <c r="E355" s="2" t="s">
        <v>73</v>
      </c>
      <c r="F355" s="6" t="b">
        <v>0</v>
      </c>
      <c r="G355" s="6" t="b">
        <v>1</v>
      </c>
      <c r="H355" s="2" t="s">
        <v>34</v>
      </c>
      <c r="I355" s="2" t="b">
        <v>1</v>
      </c>
      <c r="J355" s="2" t="s">
        <v>272</v>
      </c>
      <c r="K355" s="2" t="s">
        <v>52</v>
      </c>
      <c r="L355" s="2" t="b">
        <v>0</v>
      </c>
      <c r="M355" s="2" t="s">
        <v>1168</v>
      </c>
      <c r="N355" s="2" t="s">
        <v>1169</v>
      </c>
      <c r="O355" s="2"/>
    </row>
    <row r="356" spans="1:16" ht="86.45">
      <c r="A356" s="3" t="s">
        <v>1170</v>
      </c>
      <c r="B356" s="2" t="str">
        <f>TRIM(Table1[[#This Row],[Chat Name]])</f>
        <v>Hold Monster</v>
      </c>
      <c r="C356" s="2">
        <v>6</v>
      </c>
      <c r="D356" s="2">
        <v>27</v>
      </c>
      <c r="E356" s="2" t="s">
        <v>244</v>
      </c>
      <c r="F356" s="6" t="b">
        <v>1</v>
      </c>
      <c r="G356" s="6" t="b">
        <v>0</v>
      </c>
      <c r="H356" s="2" t="s">
        <v>34</v>
      </c>
      <c r="I356" s="2" t="b">
        <v>1</v>
      </c>
      <c r="J356" s="2" t="s">
        <v>272</v>
      </c>
      <c r="K356" s="2" t="s">
        <v>64</v>
      </c>
      <c r="L356" s="2" t="b">
        <v>0</v>
      </c>
      <c r="M356" s="2" t="s">
        <v>1171</v>
      </c>
      <c r="N356" s="2" t="s">
        <v>1172</v>
      </c>
      <c r="O356" s="2" t="s">
        <v>1173</v>
      </c>
      <c r="P356" s="13" t="s">
        <v>1173</v>
      </c>
    </row>
    <row r="357" spans="1:16" ht="86.45">
      <c r="A357" s="3" t="s">
        <v>1174</v>
      </c>
      <c r="B357" s="2" t="str">
        <f>TRIM(Table1[[#This Row],[Chat Name]])</f>
        <v>Hold Person</v>
      </c>
      <c r="C357" s="2">
        <v>2</v>
      </c>
      <c r="D357" s="2">
        <v>6</v>
      </c>
      <c r="E357" s="2" t="s">
        <v>73</v>
      </c>
      <c r="F357" s="6" t="b">
        <v>0</v>
      </c>
      <c r="G357" s="6" t="b">
        <v>1</v>
      </c>
      <c r="H357" s="2" t="s">
        <v>34</v>
      </c>
      <c r="I357" s="2" t="b">
        <v>1</v>
      </c>
      <c r="J357" s="2" t="s">
        <v>272</v>
      </c>
      <c r="K357" s="2" t="s">
        <v>56</v>
      </c>
      <c r="L357" s="2" t="b">
        <v>0</v>
      </c>
      <c r="M357" s="2" t="s">
        <v>1175</v>
      </c>
      <c r="N357" s="2" t="s">
        <v>1176</v>
      </c>
      <c r="O357" s="2" t="s">
        <v>1177</v>
      </c>
      <c r="P357" s="13" t="s">
        <v>1177</v>
      </c>
    </row>
    <row r="358" spans="1:16" ht="110.65">
      <c r="A358" s="3" t="s">
        <v>1178</v>
      </c>
      <c r="B358" s="2" t="str">
        <f>TRIM(Table1[[#This Row],[Chat Name]])</f>
        <v>Holy Aura</v>
      </c>
      <c r="C358" s="2">
        <v>11</v>
      </c>
      <c r="D358" s="2">
        <v>78</v>
      </c>
      <c r="E358" s="2" t="s">
        <v>80</v>
      </c>
      <c r="F358" s="6" t="b">
        <v>1</v>
      </c>
      <c r="G358" s="6" t="b">
        <v>0</v>
      </c>
      <c r="H358" s="2" t="s">
        <v>34</v>
      </c>
      <c r="I358" s="2" t="b">
        <v>1</v>
      </c>
      <c r="J358" s="2" t="s">
        <v>272</v>
      </c>
      <c r="K358" s="2" t="s">
        <v>59</v>
      </c>
      <c r="L358" s="2" t="b">
        <v>0</v>
      </c>
      <c r="M358" s="2" t="s">
        <v>1179</v>
      </c>
      <c r="N358" s="2" t="s">
        <v>1180</v>
      </c>
      <c r="O358" s="2"/>
    </row>
    <row r="359" spans="1:16" ht="172.15">
      <c r="A359" s="3" t="s">
        <v>1181</v>
      </c>
      <c r="B359" s="2" t="str">
        <f>TRIM(Table1[[#This Row],[Chat Name]])</f>
        <v>Holy Weapon</v>
      </c>
      <c r="C359" s="2">
        <v>7</v>
      </c>
      <c r="D359" s="2">
        <v>36</v>
      </c>
      <c r="E359" s="2" t="s">
        <v>80</v>
      </c>
      <c r="F359" s="6" t="b">
        <v>1</v>
      </c>
      <c r="G359" s="6" t="b">
        <v>0</v>
      </c>
      <c r="H359" s="2" t="s">
        <v>31</v>
      </c>
      <c r="I359" s="2" t="b">
        <v>1</v>
      </c>
      <c r="J359" s="2" t="s">
        <v>245</v>
      </c>
      <c r="K359" s="2" t="s">
        <v>110</v>
      </c>
      <c r="L359" s="2" t="b">
        <v>0</v>
      </c>
      <c r="M359" s="2" t="s">
        <v>1182</v>
      </c>
      <c r="N359" s="2" t="s">
        <v>1183</v>
      </c>
      <c r="O359" s="2"/>
    </row>
    <row r="360" spans="1:16" ht="307.5">
      <c r="A360" s="3" t="s">
        <v>1184</v>
      </c>
      <c r="B360" s="2" t="str">
        <f>TRIM(Table1[[#This Row],[Chat Name]])</f>
        <v>Mordenkainen's Magnificent Mansion</v>
      </c>
      <c r="C360" s="2">
        <v>9</v>
      </c>
      <c r="D360" s="2">
        <v>54</v>
      </c>
      <c r="E360" s="2" t="s">
        <v>80</v>
      </c>
      <c r="F360" s="6" t="b">
        <v>1</v>
      </c>
      <c r="G360" s="6" t="b">
        <v>0</v>
      </c>
      <c r="H360" s="2" t="s">
        <v>39</v>
      </c>
      <c r="I360" s="2" t="b">
        <v>0</v>
      </c>
      <c r="J360" s="2" t="s">
        <v>232</v>
      </c>
      <c r="K360" s="2" t="s">
        <v>102</v>
      </c>
      <c r="L360" s="2" t="b">
        <v>0</v>
      </c>
      <c r="M360" s="2" t="s">
        <v>1185</v>
      </c>
      <c r="N360" s="2" t="s">
        <v>1186</v>
      </c>
      <c r="O360" s="2"/>
    </row>
    <row r="361" spans="1:16" ht="147.6">
      <c r="A361" s="3" t="s">
        <v>1187</v>
      </c>
      <c r="B361" s="2" t="str">
        <f>TRIM(Table1[[#This Row],[Chat Name]])</f>
        <v>Hunger of Hadar</v>
      </c>
      <c r="C361" s="2">
        <v>4</v>
      </c>
      <c r="D361" s="2">
        <v>15</v>
      </c>
      <c r="E361" s="2" t="s">
        <v>17</v>
      </c>
      <c r="F361" s="6" t="b">
        <v>0</v>
      </c>
      <c r="G361" s="6" t="b">
        <v>1</v>
      </c>
      <c r="H361" s="2" t="s">
        <v>34</v>
      </c>
      <c r="I361" s="2" t="b">
        <v>1</v>
      </c>
      <c r="J361" s="2" t="s">
        <v>272</v>
      </c>
      <c r="K361" s="2" t="s">
        <v>460</v>
      </c>
      <c r="L361" s="2" t="b">
        <v>0</v>
      </c>
      <c r="M361" s="2" t="s">
        <v>1188</v>
      </c>
      <c r="N361" s="2" t="s">
        <v>1189</v>
      </c>
      <c r="O361" s="2"/>
    </row>
    <row r="362" spans="1:16" ht="147.6">
      <c r="A362" s="3" t="s">
        <v>1190</v>
      </c>
      <c r="B362" s="2" t="str">
        <f>TRIM(Table1[[#This Row],[Chat Name]])</f>
        <v>Find the Path</v>
      </c>
      <c r="C362" s="2">
        <v>7</v>
      </c>
      <c r="D362" s="2">
        <v>36</v>
      </c>
      <c r="E362" s="2" t="s">
        <v>80</v>
      </c>
      <c r="F362" s="6" t="b">
        <v>1</v>
      </c>
      <c r="G362" s="6" t="b">
        <v>0</v>
      </c>
      <c r="H362" s="2" t="s">
        <v>39</v>
      </c>
      <c r="I362" s="2" t="b">
        <v>1</v>
      </c>
      <c r="J362" s="2" t="s">
        <v>1191</v>
      </c>
      <c r="K362" s="2" t="s">
        <v>59</v>
      </c>
      <c r="L362" s="2" t="b">
        <v>0</v>
      </c>
      <c r="M362" s="2" t="s">
        <v>1192</v>
      </c>
      <c r="N362" s="2" t="s">
        <v>1193</v>
      </c>
      <c r="O362" s="2"/>
    </row>
    <row r="363" spans="1:16" ht="135.4">
      <c r="A363" s="3" t="s">
        <v>1194</v>
      </c>
      <c r="B363" s="2" t="str">
        <f>TRIM(Table1[[#This Row],[Chat Name]])</f>
        <v>Hurricane</v>
      </c>
      <c r="C363" s="2">
        <v>12</v>
      </c>
      <c r="D363" s="2">
        <v>90</v>
      </c>
      <c r="E363" s="2" t="s">
        <v>153</v>
      </c>
      <c r="F363" s="7" t="b">
        <v>1</v>
      </c>
      <c r="G363" s="7" t="b">
        <v>0</v>
      </c>
      <c r="H363" s="2" t="s">
        <v>34</v>
      </c>
      <c r="I363" s="2" t="b">
        <v>1</v>
      </c>
      <c r="J363" s="2" t="s">
        <v>39</v>
      </c>
      <c r="K363" s="2" t="s">
        <v>1195</v>
      </c>
      <c r="L363" s="2" t="b">
        <v>0</v>
      </c>
      <c r="M363" s="2"/>
      <c r="N363" s="2" t="s">
        <v>1196</v>
      </c>
      <c r="O363" s="2"/>
    </row>
    <row r="364" spans="1:16" ht="110.65">
      <c r="A364" s="3" t="s">
        <v>1197</v>
      </c>
      <c r="B364" s="2" t="str">
        <f>TRIM(Table1[[#This Row],[Chat Name]])</f>
        <v>Hypnotic Pattern</v>
      </c>
      <c r="C364" s="2">
        <v>4</v>
      </c>
      <c r="D364" s="2">
        <v>15</v>
      </c>
      <c r="E364" s="2" t="s">
        <v>73</v>
      </c>
      <c r="F364" s="6" t="b">
        <v>0</v>
      </c>
      <c r="G364" s="6" t="b">
        <v>1</v>
      </c>
      <c r="H364" s="2" t="s">
        <v>34</v>
      </c>
      <c r="I364" s="2" t="b">
        <v>1</v>
      </c>
      <c r="J364" s="2" t="s">
        <v>272</v>
      </c>
      <c r="K364" s="2" t="s">
        <v>160</v>
      </c>
      <c r="L364" s="2" t="b">
        <v>0</v>
      </c>
      <c r="M364" s="2" t="s">
        <v>1198</v>
      </c>
      <c r="N364" s="2" t="s">
        <v>1199</v>
      </c>
      <c r="O364" s="2"/>
    </row>
    <row r="365" spans="1:16" ht="86.1">
      <c r="A365" s="3" t="s">
        <v>1200</v>
      </c>
      <c r="B365" s="2" t="str">
        <f>TRIM(Table1[[#This Row],[Chat Name]])</f>
        <v>Ice Beam</v>
      </c>
      <c r="C365" s="2">
        <v>2</v>
      </c>
      <c r="D365" s="2">
        <v>6</v>
      </c>
      <c r="E365" s="2" t="s">
        <v>153</v>
      </c>
      <c r="F365" s="7" t="b">
        <v>1</v>
      </c>
      <c r="G365" s="7" t="b">
        <v>0</v>
      </c>
      <c r="H365" s="2" t="s">
        <v>34</v>
      </c>
      <c r="I365" s="2" t="b">
        <v>0</v>
      </c>
      <c r="J365" s="2" t="s">
        <v>19</v>
      </c>
      <c r="K365" s="2" t="s">
        <v>163</v>
      </c>
      <c r="L365" s="2" t="b">
        <v>0</v>
      </c>
      <c r="M365" s="2"/>
      <c r="N365" s="2" t="s">
        <v>1201</v>
      </c>
      <c r="O365" s="2" t="s">
        <v>1202</v>
      </c>
      <c r="P365" s="13" t="s">
        <v>1202</v>
      </c>
    </row>
    <row r="366" spans="1:16" ht="73.900000000000006">
      <c r="A366" s="3" t="s">
        <v>1203</v>
      </c>
      <c r="B366" s="2" t="str">
        <f>TRIM(Table1[[#This Row],[Chat Name]])</f>
        <v>Ice Knife</v>
      </c>
      <c r="C366" s="2">
        <v>1</v>
      </c>
      <c r="D366" s="2">
        <v>3</v>
      </c>
      <c r="E366" s="2" t="s">
        <v>153</v>
      </c>
      <c r="F366" s="6" t="b">
        <v>1</v>
      </c>
      <c r="G366" s="6" t="b">
        <v>0</v>
      </c>
      <c r="H366" s="2" t="s">
        <v>34</v>
      </c>
      <c r="I366" s="2" t="b">
        <v>0</v>
      </c>
      <c r="J366" s="2" t="s">
        <v>19</v>
      </c>
      <c r="K366" s="2" t="s">
        <v>56</v>
      </c>
      <c r="L366" s="2" t="b">
        <v>0</v>
      </c>
      <c r="M366" s="2" t="s">
        <v>1204</v>
      </c>
      <c r="N366" s="2" t="s">
        <v>1205</v>
      </c>
      <c r="O366" s="2" t="s">
        <v>1206</v>
      </c>
      <c r="P366" s="13" t="s">
        <v>1206</v>
      </c>
    </row>
    <row r="367" spans="1:16" ht="86.1">
      <c r="A367" s="3" t="s">
        <v>1207</v>
      </c>
      <c r="B367" s="2" t="str">
        <f>TRIM(Table1[[#This Row],[Chat Name]])</f>
        <v>Ice Storm</v>
      </c>
      <c r="C367" s="2">
        <v>5</v>
      </c>
      <c r="D367" s="2">
        <v>21</v>
      </c>
      <c r="E367" s="2" t="s">
        <v>153</v>
      </c>
      <c r="F367" s="6" t="b">
        <v>1</v>
      </c>
      <c r="G367" s="6" t="b">
        <v>0</v>
      </c>
      <c r="H367" s="2" t="s">
        <v>34</v>
      </c>
      <c r="I367" s="2" t="b">
        <v>0</v>
      </c>
      <c r="J367" s="2" t="s">
        <v>19</v>
      </c>
      <c r="K367" s="2" t="s">
        <v>102</v>
      </c>
      <c r="L367" s="2" t="b">
        <v>0</v>
      </c>
      <c r="M367" s="2" t="s">
        <v>1208</v>
      </c>
      <c r="N367" s="2" t="s">
        <v>1209</v>
      </c>
      <c r="O367" s="2" t="s">
        <v>1210</v>
      </c>
      <c r="P367" s="13" t="s">
        <v>1210</v>
      </c>
    </row>
    <row r="368" spans="1:16" ht="110.65">
      <c r="A368" s="3" t="s">
        <v>1211</v>
      </c>
      <c r="B368" s="2" t="str">
        <f>TRIM(Table1[[#This Row],[Chat Name]])</f>
        <v>Identify</v>
      </c>
      <c r="C368" s="2">
        <v>2</v>
      </c>
      <c r="D368" s="2">
        <v>6</v>
      </c>
      <c r="E368" s="2" t="s">
        <v>73</v>
      </c>
      <c r="F368" s="6" t="b">
        <v>0</v>
      </c>
      <c r="G368" s="6" t="b">
        <v>1</v>
      </c>
      <c r="H368" s="2" t="s">
        <v>39</v>
      </c>
      <c r="I368" s="2" t="b">
        <v>0</v>
      </c>
      <c r="J368" s="2" t="s">
        <v>19</v>
      </c>
      <c r="K368" s="2" t="s">
        <v>110</v>
      </c>
      <c r="L368" s="2" t="b">
        <v>1</v>
      </c>
      <c r="M368" s="2" t="s">
        <v>1212</v>
      </c>
      <c r="N368" s="2" t="s">
        <v>1213</v>
      </c>
      <c r="O368" s="2"/>
    </row>
    <row r="369" spans="1:16" ht="307.5">
      <c r="A369" s="3" t="s">
        <v>1214</v>
      </c>
      <c r="B369" s="2" t="str">
        <f>TRIM(Table1[[#This Row],[Chat Name]])</f>
        <v>Illusory Dragon</v>
      </c>
      <c r="C369" s="2">
        <v>10</v>
      </c>
      <c r="D369" s="2">
        <v>66</v>
      </c>
      <c r="E369" s="2" t="s">
        <v>23</v>
      </c>
      <c r="F369" s="6" t="b">
        <v>1</v>
      </c>
      <c r="G369" s="6" t="b">
        <v>0</v>
      </c>
      <c r="H369" s="2" t="s">
        <v>34</v>
      </c>
      <c r="I369" s="2" t="b">
        <v>1</v>
      </c>
      <c r="J369" s="2" t="s">
        <v>272</v>
      </c>
      <c r="K369" s="2" t="s">
        <v>160</v>
      </c>
      <c r="L369" s="2" t="b">
        <v>0</v>
      </c>
      <c r="M369" s="2" t="s">
        <v>1215</v>
      </c>
      <c r="N369" s="2" t="s">
        <v>1216</v>
      </c>
      <c r="O369" s="2"/>
    </row>
    <row r="370" spans="1:16" ht="147.6">
      <c r="A370" s="3" t="s">
        <v>1217</v>
      </c>
      <c r="B370" s="2" t="str">
        <f>TRIM(Table1[[#This Row],[Chat Name]])</f>
        <v>Illusory Script</v>
      </c>
      <c r="C370" s="2">
        <v>1</v>
      </c>
      <c r="D370" s="2">
        <v>3</v>
      </c>
      <c r="E370" s="2" t="s">
        <v>96</v>
      </c>
      <c r="F370" s="6" t="b">
        <v>0</v>
      </c>
      <c r="G370" s="6" t="b">
        <v>1</v>
      </c>
      <c r="H370" s="2" t="s">
        <v>39</v>
      </c>
      <c r="I370" s="2" t="b">
        <v>0</v>
      </c>
      <c r="J370" s="2" t="s">
        <v>288</v>
      </c>
      <c r="K370" s="2" t="s">
        <v>110</v>
      </c>
      <c r="L370" s="2" t="b">
        <v>1</v>
      </c>
      <c r="M370" s="2" t="s">
        <v>1218</v>
      </c>
      <c r="N370" s="2" t="s">
        <v>1219</v>
      </c>
      <c r="O370" s="2"/>
    </row>
    <row r="371" spans="1:16" ht="115.15">
      <c r="A371" s="3" t="s">
        <v>1220</v>
      </c>
      <c r="B371" s="2" t="str">
        <f>TRIM(Table1[[#This Row],[Chat Name]])</f>
        <v>True Strike</v>
      </c>
      <c r="C371" s="2">
        <v>0</v>
      </c>
      <c r="D371" s="2">
        <v>0</v>
      </c>
      <c r="E371" s="2" t="s">
        <v>80</v>
      </c>
      <c r="F371" s="6" t="b">
        <v>1</v>
      </c>
      <c r="G371" s="6" t="b">
        <v>0</v>
      </c>
      <c r="H371" s="2" t="s">
        <v>34</v>
      </c>
      <c r="I371" s="2" t="b">
        <v>0</v>
      </c>
      <c r="J371" s="2" t="s">
        <v>39</v>
      </c>
      <c r="K371" s="2" t="s">
        <v>110</v>
      </c>
      <c r="L371" s="2" t="b">
        <v>0</v>
      </c>
      <c r="M371" s="2"/>
      <c r="N371" s="2" t="s">
        <v>1221</v>
      </c>
      <c r="O371" s="2" t="s">
        <v>1222</v>
      </c>
      <c r="P371" s="13" t="s">
        <v>1223</v>
      </c>
    </row>
    <row r="372" spans="1:16" ht="135.4">
      <c r="A372" s="3" t="s">
        <v>1224</v>
      </c>
      <c r="B372" s="2" t="str">
        <f>TRIM(Table1[[#This Row],[Chat Name]])</f>
        <v>Immolation</v>
      </c>
      <c r="C372" s="2">
        <v>6</v>
      </c>
      <c r="D372" s="2">
        <v>27</v>
      </c>
      <c r="E372" s="2" t="s">
        <v>153</v>
      </c>
      <c r="F372" s="6" t="b">
        <v>1</v>
      </c>
      <c r="G372" s="6" t="b">
        <v>0</v>
      </c>
      <c r="H372" s="2" t="s">
        <v>34</v>
      </c>
      <c r="I372" s="2" t="b">
        <v>1</v>
      </c>
      <c r="J372" s="2" t="s">
        <v>272</v>
      </c>
      <c r="K372" s="2" t="s">
        <v>64</v>
      </c>
      <c r="L372" s="2" t="b">
        <v>0</v>
      </c>
      <c r="M372" s="2" t="s">
        <v>1225</v>
      </c>
      <c r="N372" s="2" t="s">
        <v>1226</v>
      </c>
      <c r="O372" s="2"/>
    </row>
    <row r="373" spans="1:16" ht="144">
      <c r="A373" s="3" t="s">
        <v>1227</v>
      </c>
      <c r="B373" s="2" t="str">
        <f>TRIM(Table1[[#This Row],[Chat Name]])</f>
        <v>Immovable Object</v>
      </c>
      <c r="C373" s="2">
        <v>2</v>
      </c>
      <c r="D373" s="2">
        <v>6</v>
      </c>
      <c r="E373" s="2" t="s">
        <v>30</v>
      </c>
      <c r="F373" s="6" t="b">
        <v>0</v>
      </c>
      <c r="G373" s="6" t="b">
        <v>1</v>
      </c>
      <c r="H373" s="2" t="s">
        <v>34</v>
      </c>
      <c r="I373" s="2" t="b">
        <v>0</v>
      </c>
      <c r="J373" s="2" t="s">
        <v>35</v>
      </c>
      <c r="K373" s="2" t="s">
        <v>110</v>
      </c>
      <c r="L373" s="2" t="b">
        <v>0</v>
      </c>
      <c r="M373" s="2" t="s">
        <v>1228</v>
      </c>
      <c r="N373" s="2" t="s">
        <v>1229</v>
      </c>
      <c r="O373" s="2" t="s">
        <v>1230</v>
      </c>
      <c r="P373" s="13" t="s">
        <v>1230</v>
      </c>
    </row>
    <row r="374" spans="1:16" ht="147.6">
      <c r="A374" s="3" t="s">
        <v>1231</v>
      </c>
      <c r="B374" s="2" t="str">
        <f>TRIM(Table1[[#This Row],[Chat Name]])</f>
        <v>Incendiary Cloud</v>
      </c>
      <c r="C374" s="2">
        <v>10</v>
      </c>
      <c r="D374" s="2">
        <v>66</v>
      </c>
      <c r="E374" s="2" t="s">
        <v>153</v>
      </c>
      <c r="F374" s="6" t="b">
        <v>1</v>
      </c>
      <c r="G374" s="6" t="b">
        <v>0</v>
      </c>
      <c r="H374" s="2" t="s">
        <v>34</v>
      </c>
      <c r="I374" s="2" t="b">
        <v>1</v>
      </c>
      <c r="J374" s="2" t="s">
        <v>272</v>
      </c>
      <c r="K374" s="2" t="s">
        <v>460</v>
      </c>
      <c r="L374" s="2" t="b">
        <v>0</v>
      </c>
      <c r="M374" s="2" t="s">
        <v>1232</v>
      </c>
      <c r="N374" s="2" t="s">
        <v>1233</v>
      </c>
      <c r="O374" s="2"/>
    </row>
    <row r="375" spans="1:16" ht="123">
      <c r="A375" s="3" t="s">
        <v>1234</v>
      </c>
      <c r="B375" s="2" t="str">
        <f>TRIM(Table1[[#This Row],[Chat Name]])</f>
        <v>Infestation</v>
      </c>
      <c r="C375" s="2">
        <v>0</v>
      </c>
      <c r="D375" s="2">
        <v>0</v>
      </c>
      <c r="E375" s="2" t="s">
        <v>244</v>
      </c>
      <c r="F375" s="6" t="b">
        <v>1</v>
      </c>
      <c r="G375" s="6" t="b">
        <v>0</v>
      </c>
      <c r="H375" s="2" t="s">
        <v>34</v>
      </c>
      <c r="I375" s="2" t="b">
        <v>0</v>
      </c>
      <c r="J375" s="2" t="s">
        <v>19</v>
      </c>
      <c r="K375" s="2" t="s">
        <v>52</v>
      </c>
      <c r="L375" s="2" t="b">
        <v>0</v>
      </c>
      <c r="M375" s="2" t="s">
        <v>1235</v>
      </c>
      <c r="N375" s="2" t="s">
        <v>1236</v>
      </c>
      <c r="O375" s="2"/>
    </row>
    <row r="376" spans="1:16" ht="57.6">
      <c r="A376" s="3" t="s">
        <v>1237</v>
      </c>
      <c r="B376" s="2" t="str">
        <f>TRIM(Table1[[#This Row],[Chat Name]])</f>
        <v>Inflict Wounds</v>
      </c>
      <c r="C376" s="2">
        <v>1</v>
      </c>
      <c r="D376" s="2">
        <v>3</v>
      </c>
      <c r="E376" s="2" t="s">
        <v>17</v>
      </c>
      <c r="F376" s="6" t="b">
        <v>0</v>
      </c>
      <c r="G376" s="6" t="b">
        <v>1</v>
      </c>
      <c r="H376" s="2" t="s">
        <v>34</v>
      </c>
      <c r="I376" s="2" t="b">
        <v>0</v>
      </c>
      <c r="J376" s="2" t="s">
        <v>19</v>
      </c>
      <c r="K376" s="2" t="s">
        <v>110</v>
      </c>
      <c r="L376" s="2" t="b">
        <v>0</v>
      </c>
      <c r="M376" s="2" t="s">
        <v>1238</v>
      </c>
      <c r="N376" s="2" t="s">
        <v>1239</v>
      </c>
      <c r="O376" s="2" t="s">
        <v>1157</v>
      </c>
      <c r="P376" s="13" t="s">
        <v>1157</v>
      </c>
    </row>
    <row r="377" spans="1:16" ht="110.65">
      <c r="A377" s="3" t="s">
        <v>1240</v>
      </c>
      <c r="B377" s="2" t="str">
        <f>TRIM(Table1[[#This Row],[Chat Name]])</f>
        <v>Insect Plague</v>
      </c>
      <c r="C377" s="2">
        <v>6</v>
      </c>
      <c r="D377" s="2">
        <v>27</v>
      </c>
      <c r="E377" s="2" t="s">
        <v>96</v>
      </c>
      <c r="F377" s="6" t="b">
        <v>0</v>
      </c>
      <c r="G377" s="6" t="b">
        <v>1</v>
      </c>
      <c r="H377" s="2" t="s">
        <v>34</v>
      </c>
      <c r="I377" s="2" t="b">
        <v>1</v>
      </c>
      <c r="J377" s="2" t="s">
        <v>301</v>
      </c>
      <c r="K377" s="2" t="s">
        <v>102</v>
      </c>
      <c r="L377" s="2" t="b">
        <v>0</v>
      </c>
      <c r="M377" s="2" t="s">
        <v>1241</v>
      </c>
      <c r="N377" s="2" t="s">
        <v>1242</v>
      </c>
      <c r="O377" s="2" t="s">
        <v>1243</v>
      </c>
      <c r="P377" s="13" t="s">
        <v>1243</v>
      </c>
    </row>
    <row r="378" spans="1:16" ht="49.15">
      <c r="A378" s="3" t="s">
        <v>1244</v>
      </c>
      <c r="B378" s="2" t="str">
        <f>TRIM(Table1[[#This Row],[Chat Name]])</f>
        <v>Instant Escape</v>
      </c>
      <c r="C378" s="2">
        <v>3</v>
      </c>
      <c r="D378" s="2">
        <v>6</v>
      </c>
      <c r="E378" s="2" t="s">
        <v>80</v>
      </c>
      <c r="F378" s="7" t="b">
        <v>1</v>
      </c>
      <c r="G378" s="7" t="b">
        <v>0</v>
      </c>
      <c r="H378" s="2" t="s">
        <v>1245</v>
      </c>
      <c r="I378" s="2" t="b">
        <v>0</v>
      </c>
      <c r="J378" s="2" t="s">
        <v>19</v>
      </c>
      <c r="K378" s="2" t="s">
        <v>319</v>
      </c>
      <c r="L378" s="2" t="b">
        <v>0</v>
      </c>
      <c r="M378" s="2"/>
      <c r="N378" s="11" t="s">
        <v>1246</v>
      </c>
      <c r="O378" s="2"/>
    </row>
    <row r="379" spans="1:16" ht="86.45">
      <c r="A379" s="3" t="s">
        <v>1247</v>
      </c>
      <c r="B379" s="2" t="str">
        <f>TRIM(Table1[[#This Row],[Chat Name]])</f>
        <v>Intellect Fortress</v>
      </c>
      <c r="C379" s="2">
        <v>4</v>
      </c>
      <c r="D379" s="2">
        <v>15</v>
      </c>
      <c r="E379" s="2" t="s">
        <v>73</v>
      </c>
      <c r="F379" s="6" t="b">
        <v>0</v>
      </c>
      <c r="G379" s="6" t="b">
        <v>1</v>
      </c>
      <c r="H379" s="2" t="s">
        <v>34</v>
      </c>
      <c r="I379" s="2" t="b">
        <v>1</v>
      </c>
      <c r="J379" s="2" t="s">
        <v>245</v>
      </c>
      <c r="K379" s="2" t="s">
        <v>52</v>
      </c>
      <c r="L379" s="2" t="b">
        <v>0</v>
      </c>
      <c r="M379" s="2" t="s">
        <v>1248</v>
      </c>
      <c r="N379" s="2" t="s">
        <v>1249</v>
      </c>
      <c r="O379" s="2" t="s">
        <v>1250</v>
      </c>
      <c r="P379" s="13" t="s">
        <v>1250</v>
      </c>
    </row>
    <row r="380" spans="1:16" ht="135.4">
      <c r="A380" s="3" t="s">
        <v>1251</v>
      </c>
      <c r="B380" s="2" t="str">
        <f>TRIM(Table1[[#This Row],[Chat Name]])</f>
        <v>Investiture of Flame</v>
      </c>
      <c r="C380" s="2">
        <v>8</v>
      </c>
      <c r="D380" s="2">
        <v>45</v>
      </c>
      <c r="E380" s="2" t="s">
        <v>153</v>
      </c>
      <c r="F380" s="6" t="b">
        <v>1</v>
      </c>
      <c r="G380" s="6" t="b">
        <v>0</v>
      </c>
      <c r="H380" s="2" t="s">
        <v>34</v>
      </c>
      <c r="I380" s="2" t="b">
        <v>1</v>
      </c>
      <c r="J380" s="2" t="s">
        <v>301</v>
      </c>
      <c r="K380" s="2" t="s">
        <v>59</v>
      </c>
      <c r="L380" s="2" t="b">
        <v>0</v>
      </c>
      <c r="M380" s="2" t="s">
        <v>1252</v>
      </c>
      <c r="N380" s="2" t="s">
        <v>1253</v>
      </c>
      <c r="O380" s="2"/>
    </row>
    <row r="381" spans="1:16" ht="159.94999999999999">
      <c r="A381" s="3" t="s">
        <v>1254</v>
      </c>
      <c r="B381" s="2" t="str">
        <f>TRIM(Table1[[#This Row],[Chat Name]])</f>
        <v>Investiture of Ice</v>
      </c>
      <c r="C381" s="2">
        <v>8</v>
      </c>
      <c r="D381" s="2">
        <v>45</v>
      </c>
      <c r="E381" s="2" t="s">
        <v>153</v>
      </c>
      <c r="F381" s="6" t="b">
        <v>1</v>
      </c>
      <c r="G381" s="6" t="b">
        <v>0</v>
      </c>
      <c r="H381" s="2" t="s">
        <v>34</v>
      </c>
      <c r="I381" s="2" t="b">
        <v>1</v>
      </c>
      <c r="J381" s="2" t="s">
        <v>301</v>
      </c>
      <c r="K381" s="2" t="s">
        <v>59</v>
      </c>
      <c r="L381" s="2" t="b">
        <v>0</v>
      </c>
      <c r="M381" s="2" t="s">
        <v>1255</v>
      </c>
      <c r="N381" s="2" t="s">
        <v>1256</v>
      </c>
      <c r="O381" s="2"/>
    </row>
    <row r="382" spans="1:16" ht="159.94999999999999">
      <c r="A382" s="3" t="s">
        <v>1257</v>
      </c>
      <c r="B382" s="2" t="str">
        <f>TRIM(Table1[[#This Row],[Chat Name]])</f>
        <v>Investiture of Stone</v>
      </c>
      <c r="C382" s="2">
        <v>8</v>
      </c>
      <c r="D382" s="2">
        <v>45</v>
      </c>
      <c r="E382" s="2" t="s">
        <v>153</v>
      </c>
      <c r="F382" s="6" t="b">
        <v>1</v>
      </c>
      <c r="G382" s="6" t="b">
        <v>0</v>
      </c>
      <c r="H382" s="2" t="s">
        <v>34</v>
      </c>
      <c r="I382" s="2" t="b">
        <v>1</v>
      </c>
      <c r="J382" s="2" t="s">
        <v>301</v>
      </c>
      <c r="K382" s="2" t="s">
        <v>59</v>
      </c>
      <c r="L382" s="2" t="b">
        <v>0</v>
      </c>
      <c r="M382" s="2" t="s">
        <v>1258</v>
      </c>
      <c r="N382" s="2" t="s">
        <v>1259</v>
      </c>
      <c r="O382" s="2"/>
    </row>
    <row r="383" spans="1:16" ht="147.6">
      <c r="A383" s="3" t="s">
        <v>1260</v>
      </c>
      <c r="B383" s="2" t="str">
        <f>TRIM(Table1[[#This Row],[Chat Name]])</f>
        <v>Investiture of Wind</v>
      </c>
      <c r="C383" s="2">
        <v>8</v>
      </c>
      <c r="D383" s="2">
        <v>45</v>
      </c>
      <c r="E383" s="2" t="s">
        <v>153</v>
      </c>
      <c r="F383" s="6" t="b">
        <v>1</v>
      </c>
      <c r="G383" s="6" t="b">
        <v>0</v>
      </c>
      <c r="H383" s="2" t="s">
        <v>34</v>
      </c>
      <c r="I383" s="2" t="b">
        <v>1</v>
      </c>
      <c r="J383" s="2" t="s">
        <v>301</v>
      </c>
      <c r="K383" s="2" t="s">
        <v>59</v>
      </c>
      <c r="L383" s="2" t="b">
        <v>0</v>
      </c>
      <c r="M383" s="2" t="s">
        <v>1261</v>
      </c>
      <c r="N383" s="2" t="s">
        <v>1262</v>
      </c>
      <c r="O383" s="2"/>
    </row>
    <row r="384" spans="1:16" ht="57.6">
      <c r="A384" s="3" t="s">
        <v>1263</v>
      </c>
      <c r="B384" s="2" t="str">
        <f>TRIM(Table1[[#This Row],[Chat Name]])</f>
        <v>Invisibility</v>
      </c>
      <c r="C384" s="2">
        <v>3</v>
      </c>
      <c r="D384" s="2">
        <v>9</v>
      </c>
      <c r="E384" s="2" t="s">
        <v>30</v>
      </c>
      <c r="F384" s="6" t="b">
        <v>0</v>
      </c>
      <c r="G384" s="6" t="b">
        <v>1</v>
      </c>
      <c r="H384" s="2" t="s">
        <v>34</v>
      </c>
      <c r="I384" s="2" t="b">
        <v>1</v>
      </c>
      <c r="J384" s="2" t="s">
        <v>245</v>
      </c>
      <c r="K384" s="2" t="s">
        <v>110</v>
      </c>
      <c r="L384" s="2" t="b">
        <v>0</v>
      </c>
      <c r="M384" s="2" t="s">
        <v>1264</v>
      </c>
      <c r="N384" s="2" t="s">
        <v>1265</v>
      </c>
      <c r="O384" s="2" t="s">
        <v>398</v>
      </c>
      <c r="P384" s="13" t="s">
        <v>398</v>
      </c>
    </row>
    <row r="385" spans="1:16">
      <c r="A385" s="3" t="s">
        <v>1266</v>
      </c>
      <c r="B385" s="2" t="str">
        <f>TRIM(Table1[[#This Row],[Chat Name]])</f>
        <v>Invulnerability</v>
      </c>
      <c r="C385" s="2">
        <v>12</v>
      </c>
      <c r="D385" s="2">
        <v>90</v>
      </c>
      <c r="E385" s="2" t="s">
        <v>30</v>
      </c>
      <c r="F385" s="6" t="b">
        <v>0</v>
      </c>
      <c r="G385" s="6" t="b">
        <v>1</v>
      </c>
      <c r="H385" s="2" t="s">
        <v>34</v>
      </c>
      <c r="I385" s="2" t="b">
        <v>1</v>
      </c>
      <c r="J385" s="2" t="s">
        <v>301</v>
      </c>
      <c r="K385" s="2" t="s">
        <v>59</v>
      </c>
      <c r="L385" s="2" t="b">
        <v>0</v>
      </c>
      <c r="M385" s="2" t="s">
        <v>1267</v>
      </c>
      <c r="N385" s="2" t="s">
        <v>1268</v>
      </c>
      <c r="O385" s="2"/>
    </row>
    <row r="386" spans="1:16" ht="61.5">
      <c r="A386" s="3" t="s">
        <v>1269</v>
      </c>
      <c r="B386" s="2" t="str">
        <f>TRIM(Table1[[#This Row],[Chat Name]])</f>
        <v>Snilloc's Snowball Swarm</v>
      </c>
      <c r="C386" s="2">
        <v>2</v>
      </c>
      <c r="D386" s="2">
        <v>6</v>
      </c>
      <c r="E386" s="2" t="s">
        <v>153</v>
      </c>
      <c r="F386" s="6" t="b">
        <v>1</v>
      </c>
      <c r="G386" s="6" t="b">
        <v>0</v>
      </c>
      <c r="H386" s="2" t="s">
        <v>34</v>
      </c>
      <c r="I386" s="2" t="b">
        <v>0</v>
      </c>
      <c r="J386" s="2" t="s">
        <v>19</v>
      </c>
      <c r="K386" s="2" t="s">
        <v>64</v>
      </c>
      <c r="L386" s="2" t="b">
        <v>0</v>
      </c>
      <c r="M386" s="2" t="s">
        <v>1270</v>
      </c>
      <c r="N386" s="2" t="s">
        <v>1271</v>
      </c>
      <c r="O386" s="2" t="s">
        <v>774</v>
      </c>
      <c r="P386" s="13" t="s">
        <v>774</v>
      </c>
    </row>
    <row r="387" spans="1:16" ht="61.5">
      <c r="A387" s="3" t="s">
        <v>1272</v>
      </c>
      <c r="B387" s="2" t="str">
        <f>TRIM(Table1[[#This Row],[Chat Name]])</f>
        <v>Judgement</v>
      </c>
      <c r="C387" s="2">
        <v>12</v>
      </c>
      <c r="D387" s="2">
        <v>90</v>
      </c>
      <c r="E387" s="2" t="s">
        <v>80</v>
      </c>
      <c r="F387" s="7" t="b">
        <v>1</v>
      </c>
      <c r="G387" s="7" t="b">
        <v>0</v>
      </c>
      <c r="H387" s="2" t="s">
        <v>44</v>
      </c>
      <c r="I387" s="2" t="b">
        <v>1</v>
      </c>
      <c r="J387" s="2" t="s">
        <v>144</v>
      </c>
      <c r="K387" s="2" t="s">
        <v>863</v>
      </c>
      <c r="L387" s="2" t="b">
        <v>0</v>
      </c>
      <c r="M387" s="2"/>
      <c r="N387" s="2" t="s">
        <v>1273</v>
      </c>
      <c r="O387" s="2"/>
    </row>
    <row r="388" spans="1:16" ht="24.6">
      <c r="A388" s="3" t="s">
        <v>1274</v>
      </c>
      <c r="B388" s="2" t="str">
        <f>TRIM(Table1[[#This Row],[Chat Name]])</f>
        <v>Jump</v>
      </c>
      <c r="C388" s="2">
        <v>1</v>
      </c>
      <c r="D388" s="2">
        <v>3</v>
      </c>
      <c r="E388" s="2" t="s">
        <v>244</v>
      </c>
      <c r="F388" s="6" t="b">
        <v>1</v>
      </c>
      <c r="G388" s="6" t="b">
        <v>0</v>
      </c>
      <c r="H388" s="2" t="s">
        <v>34</v>
      </c>
      <c r="I388" s="2" t="b">
        <v>0</v>
      </c>
      <c r="J388" s="2" t="s">
        <v>39</v>
      </c>
      <c r="K388" s="2" t="s">
        <v>110</v>
      </c>
      <c r="L388" s="2" t="b">
        <v>0</v>
      </c>
      <c r="M388" s="2" t="s">
        <v>1275</v>
      </c>
      <c r="N388" s="2" t="s">
        <v>1276</v>
      </c>
      <c r="O388" s="2"/>
    </row>
    <row r="389" spans="1:16" ht="356.65">
      <c r="A389" s="3" t="s">
        <v>1277</v>
      </c>
      <c r="B389" s="2" t="str">
        <f>TRIM(Table1[[#This Row],[Chat Name]])</f>
        <v>Kinematic</v>
      </c>
      <c r="C389" s="2">
        <v>2</v>
      </c>
      <c r="D389" s="2">
        <v>6</v>
      </c>
      <c r="E389" s="2" t="s">
        <v>80</v>
      </c>
      <c r="F389" s="7" t="b">
        <v>1</v>
      </c>
      <c r="G389" s="7" t="b">
        <v>0</v>
      </c>
      <c r="H389" s="2" t="s">
        <v>34</v>
      </c>
      <c r="I389" s="2" t="b">
        <v>0</v>
      </c>
      <c r="J389" s="2" t="s">
        <v>19</v>
      </c>
      <c r="K389" s="2" t="s">
        <v>56</v>
      </c>
      <c r="L389" s="2" t="b">
        <v>0</v>
      </c>
      <c r="M389" s="2"/>
      <c r="N389" s="2" t="s">
        <v>1278</v>
      </c>
      <c r="O389" s="2" t="s">
        <v>1279</v>
      </c>
      <c r="P389" s="13" t="s">
        <v>1279</v>
      </c>
    </row>
    <row r="390" spans="1:16" ht="86.1">
      <c r="A390" s="3" t="s">
        <v>1280</v>
      </c>
      <c r="B390" s="2" t="str">
        <f>TRIM(Table1[[#This Row],[Chat Name]])</f>
        <v>Kinetic Jaunt</v>
      </c>
      <c r="C390" s="2">
        <v>2</v>
      </c>
      <c r="D390" s="2">
        <v>6</v>
      </c>
      <c r="E390" s="2" t="s">
        <v>30</v>
      </c>
      <c r="F390" s="6" t="b">
        <v>0</v>
      </c>
      <c r="G390" s="6" t="b">
        <v>1</v>
      </c>
      <c r="H390" s="2" t="s">
        <v>31</v>
      </c>
      <c r="I390" s="2" t="b">
        <v>1</v>
      </c>
      <c r="J390" s="2" t="s">
        <v>272</v>
      </c>
      <c r="K390" s="2" t="s">
        <v>59</v>
      </c>
      <c r="L390" s="2" t="b">
        <v>0</v>
      </c>
      <c r="M390" s="2" t="s">
        <v>1281</v>
      </c>
      <c r="N390" s="2" t="s">
        <v>1281</v>
      </c>
      <c r="O390" s="2"/>
    </row>
    <row r="391" spans="1:16" ht="135.4">
      <c r="A391" s="3" t="s">
        <v>1282</v>
      </c>
      <c r="B391" s="2" t="str">
        <f>TRIM(Table1[[#This Row],[Chat Name]])</f>
        <v>Knock</v>
      </c>
      <c r="C391" s="2">
        <v>2</v>
      </c>
      <c r="D391" s="2">
        <v>6</v>
      </c>
      <c r="E391" s="2" t="s">
        <v>30</v>
      </c>
      <c r="F391" s="6" t="b">
        <v>0</v>
      </c>
      <c r="G391" s="6" t="b">
        <v>1</v>
      </c>
      <c r="H391" s="2" t="s">
        <v>34</v>
      </c>
      <c r="I391" s="2" t="b">
        <v>0</v>
      </c>
      <c r="J391" s="2" t="s">
        <v>19</v>
      </c>
      <c r="K391" s="2" t="s">
        <v>56</v>
      </c>
      <c r="L391" s="2" t="b">
        <v>0</v>
      </c>
      <c r="M391" s="2" t="s">
        <v>1283</v>
      </c>
      <c r="N391" s="2" t="s">
        <v>1284</v>
      </c>
      <c r="O391" s="2"/>
    </row>
    <row r="392" spans="1:16" ht="61.5">
      <c r="A392" s="3"/>
      <c r="B392" s="2" t="str">
        <f>TRIM(Table1[[#This Row],[Chat Name]])</f>
        <v/>
      </c>
      <c r="C392" s="2">
        <v>1</v>
      </c>
      <c r="D392" s="2">
        <v>3</v>
      </c>
      <c r="E392" s="2" t="s">
        <v>17</v>
      </c>
      <c r="F392" s="6" t="b">
        <v>0</v>
      </c>
      <c r="G392" s="6" t="b">
        <v>1</v>
      </c>
      <c r="H392" s="2" t="s">
        <v>34</v>
      </c>
      <c r="I392" s="2" t="b">
        <v>0</v>
      </c>
      <c r="J392" s="2" t="s">
        <v>19</v>
      </c>
      <c r="K392" s="2" t="s">
        <v>56</v>
      </c>
      <c r="L392" s="2" t="b">
        <v>0</v>
      </c>
      <c r="M392" s="2"/>
      <c r="N392" s="2" t="s">
        <v>1285</v>
      </c>
      <c r="O392" s="2" t="s">
        <v>1286</v>
      </c>
      <c r="P392" s="13" t="s">
        <v>1286</v>
      </c>
    </row>
    <row r="393" spans="1:16" ht="184.5">
      <c r="A393" s="3" t="s">
        <v>1287</v>
      </c>
      <c r="B393" s="2" t="str">
        <f>TRIM(Table1[[#This Row],[Chat Name]])</f>
        <v>Legend Lore</v>
      </c>
      <c r="C393" s="2">
        <v>7</v>
      </c>
      <c r="D393" s="2">
        <v>36</v>
      </c>
      <c r="E393" s="2" t="s">
        <v>73</v>
      </c>
      <c r="F393" s="6" t="b">
        <v>0</v>
      </c>
      <c r="G393" s="6" t="b">
        <v>1</v>
      </c>
      <c r="H393" s="2" t="s">
        <v>18</v>
      </c>
      <c r="I393" s="2" t="b">
        <v>0</v>
      </c>
      <c r="J393" s="2" t="s">
        <v>19</v>
      </c>
      <c r="K393" s="2" t="s">
        <v>59</v>
      </c>
      <c r="L393" s="2" t="b">
        <v>0</v>
      </c>
      <c r="M393" s="2" t="s">
        <v>1288</v>
      </c>
      <c r="N393" s="2" t="s">
        <v>1289</v>
      </c>
      <c r="O393" s="2"/>
    </row>
    <row r="394" spans="1:16" ht="36.950000000000003">
      <c r="A394" s="3" t="s">
        <v>1290</v>
      </c>
      <c r="B394" s="2" t="str">
        <f>TRIM(Table1[[#This Row],[Chat Name]])</f>
        <v>Lesser Restoration</v>
      </c>
      <c r="C394" s="2">
        <v>2</v>
      </c>
      <c r="D394" s="2">
        <v>6</v>
      </c>
      <c r="E394" s="2" t="s">
        <v>80</v>
      </c>
      <c r="F394" s="6" t="b">
        <v>1</v>
      </c>
      <c r="G394" s="6" t="b">
        <v>0</v>
      </c>
      <c r="H394" s="2" t="s">
        <v>34</v>
      </c>
      <c r="I394" s="2" t="b">
        <v>0</v>
      </c>
      <c r="J394" s="2" t="s">
        <v>19</v>
      </c>
      <c r="K394" s="2" t="s">
        <v>110</v>
      </c>
      <c r="L394" s="2" t="b">
        <v>0</v>
      </c>
      <c r="M394" s="2" t="s">
        <v>1291</v>
      </c>
      <c r="N394" s="2" t="s">
        <v>1291</v>
      </c>
      <c r="O394" s="2"/>
    </row>
    <row r="395" spans="1:16" ht="159.94999999999999">
      <c r="A395" s="3" t="s">
        <v>1292</v>
      </c>
      <c r="B395" s="2" t="str">
        <f>TRIM(Table1[[#This Row],[Chat Name]])</f>
        <v>Levitate</v>
      </c>
      <c r="C395" s="2">
        <v>2</v>
      </c>
      <c r="D395" s="2">
        <v>6</v>
      </c>
      <c r="E395" s="2" t="s">
        <v>30</v>
      </c>
      <c r="F395" s="6" t="b">
        <v>0</v>
      </c>
      <c r="G395" s="6" t="b">
        <v>1</v>
      </c>
      <c r="H395" s="2" t="s">
        <v>34</v>
      </c>
      <c r="I395" s="2" t="b">
        <v>1</v>
      </c>
      <c r="J395" s="2" t="s">
        <v>272</v>
      </c>
      <c r="K395" s="2" t="s">
        <v>56</v>
      </c>
      <c r="L395" s="2" t="b">
        <v>0</v>
      </c>
      <c r="M395" s="2" t="s">
        <v>1293</v>
      </c>
      <c r="N395" s="2" t="s">
        <v>1294</v>
      </c>
      <c r="O395" s="2"/>
    </row>
    <row r="396" spans="1:16" ht="135.4">
      <c r="A396" s="3" t="s">
        <v>1295</v>
      </c>
      <c r="B396" s="2" t="str">
        <f>TRIM(Table1[[#This Row],[Chat Name]])</f>
        <v>Life Drinker</v>
      </c>
      <c r="C396" s="2">
        <v>6</v>
      </c>
      <c r="D396" s="2">
        <v>27</v>
      </c>
      <c r="E396" s="2" t="s">
        <v>17</v>
      </c>
      <c r="F396" s="7" t="b">
        <v>0</v>
      </c>
      <c r="G396" s="7" t="b">
        <v>1</v>
      </c>
      <c r="H396" s="2" t="s">
        <v>34</v>
      </c>
      <c r="I396" s="2" t="b">
        <v>1</v>
      </c>
      <c r="J396" s="2" t="s">
        <v>39</v>
      </c>
      <c r="K396" s="2" t="s">
        <v>1296</v>
      </c>
      <c r="L396" s="2"/>
      <c r="M396" s="2"/>
      <c r="N396" s="2" t="s">
        <v>1297</v>
      </c>
      <c r="O396" s="2" t="s">
        <v>1298</v>
      </c>
      <c r="P396" s="13" t="s">
        <v>1298</v>
      </c>
    </row>
    <row r="397" spans="1:16" ht="57.6">
      <c r="A397" s="3" t="s">
        <v>1299</v>
      </c>
      <c r="B397" s="2" t="str">
        <f>TRIM(Table1[[#This Row],[Chat Name]])</f>
        <v>Life Transference</v>
      </c>
      <c r="C397" s="2">
        <v>4</v>
      </c>
      <c r="D397" s="2">
        <v>15</v>
      </c>
      <c r="E397" s="2" t="s">
        <v>23</v>
      </c>
      <c r="F397" s="6" t="b">
        <v>1</v>
      </c>
      <c r="G397" s="6" t="b">
        <v>0</v>
      </c>
      <c r="H397" s="2" t="s">
        <v>34</v>
      </c>
      <c r="I397" s="2" t="b">
        <v>0</v>
      </c>
      <c r="J397" s="2" t="s">
        <v>19</v>
      </c>
      <c r="K397" s="2" t="s">
        <v>52</v>
      </c>
      <c r="L397" s="2" t="b">
        <v>0</v>
      </c>
      <c r="M397" s="2" t="s">
        <v>1300</v>
      </c>
      <c r="N397" s="2" t="s">
        <v>1300</v>
      </c>
      <c r="O397" s="2" t="s">
        <v>1301</v>
      </c>
      <c r="P397" s="13" t="s">
        <v>1301</v>
      </c>
    </row>
    <row r="398" spans="1:16" ht="98.45">
      <c r="A398" s="3" t="s">
        <v>1302</v>
      </c>
      <c r="B398" s="2" t="str">
        <f>TRIM(Table1[[#This Row],[Chat Name]])</f>
        <v>Light</v>
      </c>
      <c r="C398" s="2">
        <v>0</v>
      </c>
      <c r="D398" s="2">
        <v>0</v>
      </c>
      <c r="E398" s="2" t="s">
        <v>23</v>
      </c>
      <c r="F398" s="6" t="b">
        <v>1</v>
      </c>
      <c r="G398" s="6" t="b">
        <v>0</v>
      </c>
      <c r="H398" s="2" t="s">
        <v>34</v>
      </c>
      <c r="I398" s="2" t="b">
        <v>0</v>
      </c>
      <c r="J398" s="2" t="s">
        <v>35</v>
      </c>
      <c r="K398" s="2" t="s">
        <v>110</v>
      </c>
      <c r="L398" s="2" t="b">
        <v>0</v>
      </c>
      <c r="M398" s="2" t="s">
        <v>1303</v>
      </c>
      <c r="N398" s="2" t="s">
        <v>1304</v>
      </c>
      <c r="O398" s="2"/>
    </row>
    <row r="399" spans="1:16" ht="135.4">
      <c r="A399" s="3" t="s">
        <v>1305</v>
      </c>
      <c r="B399" s="2" t="str">
        <f>TRIM(Table1[[#This Row],[Chat Name]])</f>
        <v>Lightning Arrow</v>
      </c>
      <c r="C399" s="2">
        <v>3</v>
      </c>
      <c r="D399" s="2">
        <v>9</v>
      </c>
      <c r="E399" s="2" t="s">
        <v>153</v>
      </c>
      <c r="F399" s="6" t="b">
        <v>1</v>
      </c>
      <c r="G399" s="6" t="b">
        <v>0</v>
      </c>
      <c r="H399" s="2" t="s">
        <v>31</v>
      </c>
      <c r="I399" s="2" t="b">
        <v>1</v>
      </c>
      <c r="J399" s="2" t="s">
        <v>272</v>
      </c>
      <c r="K399" s="2" t="s">
        <v>59</v>
      </c>
      <c r="L399" s="2" t="b">
        <v>0</v>
      </c>
      <c r="M399" s="2" t="s">
        <v>1306</v>
      </c>
      <c r="N399" s="2" t="s">
        <v>1307</v>
      </c>
      <c r="O399" s="2" t="s">
        <v>1308</v>
      </c>
      <c r="P399" s="13" t="s">
        <v>1308</v>
      </c>
    </row>
    <row r="400" spans="1:16" ht="73.900000000000006">
      <c r="A400" s="3" t="s">
        <v>1309</v>
      </c>
      <c r="B400" s="2" t="str">
        <f>TRIM(Table1[[#This Row],[Chat Name]])</f>
        <v>Lightning Bolt</v>
      </c>
      <c r="C400" s="2">
        <v>4</v>
      </c>
      <c r="D400" s="2">
        <v>15</v>
      </c>
      <c r="E400" s="2" t="s">
        <v>153</v>
      </c>
      <c r="F400" s="6" t="b">
        <v>1</v>
      </c>
      <c r="G400" s="6" t="b">
        <v>0</v>
      </c>
      <c r="H400" s="2" t="s">
        <v>34</v>
      </c>
      <c r="I400" s="2" t="b">
        <v>0</v>
      </c>
      <c r="J400" s="2" t="s">
        <v>19</v>
      </c>
      <c r="K400" s="2" t="s">
        <v>940</v>
      </c>
      <c r="L400" s="2" t="b">
        <v>0</v>
      </c>
      <c r="M400" s="2" t="s">
        <v>1310</v>
      </c>
      <c r="N400" s="2" t="s">
        <v>1311</v>
      </c>
      <c r="O400" s="2" t="s">
        <v>938</v>
      </c>
      <c r="P400" s="13" t="s">
        <v>938</v>
      </c>
    </row>
    <row r="401" spans="1:16" ht="73.900000000000006">
      <c r="A401" s="3" t="s">
        <v>1312</v>
      </c>
      <c r="B401" s="2" t="str">
        <f>TRIM(Table1[[#This Row],[Chat Name]])</f>
        <v>Lightning Helix</v>
      </c>
      <c r="C401" s="2">
        <v>3</v>
      </c>
      <c r="D401" s="2">
        <v>9</v>
      </c>
      <c r="E401" s="2" t="s">
        <v>1313</v>
      </c>
      <c r="F401" s="7" t="b">
        <v>0</v>
      </c>
      <c r="G401" s="7" t="b">
        <v>1</v>
      </c>
      <c r="H401" s="2" t="s">
        <v>34</v>
      </c>
      <c r="I401" s="2" t="b">
        <v>0</v>
      </c>
      <c r="J401" s="2" t="s">
        <v>19</v>
      </c>
      <c r="K401" s="2" t="s">
        <v>48</v>
      </c>
      <c r="L401" s="2" t="b">
        <v>0</v>
      </c>
      <c r="M401" s="2"/>
      <c r="N401" s="2" t="s">
        <v>1314</v>
      </c>
      <c r="O401" s="2" t="s">
        <v>1315</v>
      </c>
      <c r="P401" s="13" t="s">
        <v>1315</v>
      </c>
    </row>
    <row r="402" spans="1:16" ht="86.1">
      <c r="A402" s="3" t="s">
        <v>1316</v>
      </c>
      <c r="B402" s="2" t="str">
        <f>TRIM(Table1[[#This Row],[Chat Name]])</f>
        <v>Lightning Lure</v>
      </c>
      <c r="C402" s="2">
        <v>0</v>
      </c>
      <c r="D402" s="2">
        <v>0</v>
      </c>
      <c r="E402" s="2" t="s">
        <v>153</v>
      </c>
      <c r="F402" s="6" t="b">
        <v>1</v>
      </c>
      <c r="G402" s="6" t="b">
        <v>0</v>
      </c>
      <c r="H402" s="2" t="s">
        <v>34</v>
      </c>
      <c r="I402" s="2" t="b">
        <v>0</v>
      </c>
      <c r="J402" s="2" t="s">
        <v>19</v>
      </c>
      <c r="K402" s="2" t="s">
        <v>1317</v>
      </c>
      <c r="L402" s="2" t="b">
        <v>0</v>
      </c>
      <c r="M402" s="2" t="s">
        <v>1318</v>
      </c>
      <c r="N402" s="2" t="s">
        <v>1319</v>
      </c>
      <c r="O402" s="2"/>
    </row>
    <row r="403" spans="1:16" ht="106.15">
      <c r="A403" s="3" t="s">
        <v>1320</v>
      </c>
      <c r="B403" s="2" t="str">
        <f>TRIM(Table1[[#This Row],[Chat Name]])</f>
        <v>Lightning Spear</v>
      </c>
      <c r="C403" s="2">
        <v>9</v>
      </c>
      <c r="D403" s="2">
        <v>54</v>
      </c>
      <c r="E403" s="2" t="s">
        <v>80</v>
      </c>
      <c r="F403" s="7" t="b">
        <v>1</v>
      </c>
      <c r="G403" s="7" t="b">
        <v>0</v>
      </c>
      <c r="H403" s="2" t="s">
        <v>34</v>
      </c>
      <c r="I403" s="2" t="b">
        <v>1</v>
      </c>
      <c r="J403" s="2" t="s">
        <v>39</v>
      </c>
      <c r="K403" s="2" t="s">
        <v>1321</v>
      </c>
      <c r="L403" s="2" t="b">
        <v>0</v>
      </c>
      <c r="M403" s="2"/>
      <c r="N403" s="9" t="s">
        <v>1322</v>
      </c>
      <c r="O403" s="10" t="s">
        <v>1323</v>
      </c>
      <c r="P403" s="13" t="s">
        <v>1323</v>
      </c>
    </row>
    <row r="404" spans="1:16" ht="49.15">
      <c r="A404" s="3" t="s">
        <v>1324</v>
      </c>
      <c r="B404" s="2" t="str">
        <f>TRIM(Table1[[#This Row],[Chat Name]])</f>
        <v>Locate Animals or Plants</v>
      </c>
      <c r="C404" s="2">
        <v>2</v>
      </c>
      <c r="D404" s="2">
        <v>6</v>
      </c>
      <c r="E404" s="2" t="s">
        <v>244</v>
      </c>
      <c r="F404" s="6" t="b">
        <v>1</v>
      </c>
      <c r="G404" s="6" t="b">
        <v>0</v>
      </c>
      <c r="H404" s="2" t="s">
        <v>34</v>
      </c>
      <c r="I404" s="2" t="b">
        <v>0</v>
      </c>
      <c r="J404" s="2" t="s">
        <v>19</v>
      </c>
      <c r="K404" s="2" t="s">
        <v>59</v>
      </c>
      <c r="L404" s="2" t="b">
        <v>1</v>
      </c>
      <c r="M404" s="2" t="s">
        <v>1325</v>
      </c>
      <c r="N404" s="2" t="s">
        <v>1325</v>
      </c>
      <c r="O404" s="2"/>
    </row>
    <row r="405" spans="1:16" ht="147.6">
      <c r="A405" s="3" t="s">
        <v>1326</v>
      </c>
      <c r="B405" s="2" t="str">
        <f>TRIM(Table1[[#This Row],[Chat Name]])</f>
        <v>Locate Creature</v>
      </c>
      <c r="C405" s="2">
        <v>5</v>
      </c>
      <c r="D405" s="2">
        <v>21</v>
      </c>
      <c r="E405" s="2" t="s">
        <v>244</v>
      </c>
      <c r="F405" s="6" t="b">
        <v>1</v>
      </c>
      <c r="G405" s="6" t="b">
        <v>0</v>
      </c>
      <c r="H405" s="2" t="s">
        <v>34</v>
      </c>
      <c r="I405" s="2" t="b">
        <v>1</v>
      </c>
      <c r="J405" s="2" t="s">
        <v>245</v>
      </c>
      <c r="K405" s="2" t="s">
        <v>59</v>
      </c>
      <c r="L405" s="2" t="b">
        <v>0</v>
      </c>
      <c r="M405" s="2" t="s">
        <v>1327</v>
      </c>
      <c r="N405" s="2" t="s">
        <v>1328</v>
      </c>
      <c r="O405" s="2"/>
    </row>
    <row r="406" spans="1:16" ht="123">
      <c r="A406" s="3" t="s">
        <v>1329</v>
      </c>
      <c r="B406" s="2" t="str">
        <f>TRIM(Table1[[#This Row],[Chat Name]])</f>
        <v>Locate Object</v>
      </c>
      <c r="C406" s="2">
        <v>2</v>
      </c>
      <c r="D406" s="2">
        <v>6</v>
      </c>
      <c r="E406" s="2" t="s">
        <v>73</v>
      </c>
      <c r="F406" s="6" t="b">
        <v>0</v>
      </c>
      <c r="G406" s="6" t="b">
        <v>1</v>
      </c>
      <c r="H406" s="2" t="s">
        <v>34</v>
      </c>
      <c r="I406" s="2" t="b">
        <v>1</v>
      </c>
      <c r="J406" s="2" t="s">
        <v>301</v>
      </c>
      <c r="K406" s="2" t="s">
        <v>59</v>
      </c>
      <c r="L406" s="2" t="b">
        <v>0</v>
      </c>
      <c r="M406" s="2" t="s">
        <v>1330</v>
      </c>
      <c r="N406" s="2" t="s">
        <v>1331</v>
      </c>
      <c r="O406" s="2"/>
    </row>
    <row r="407" spans="1:16" ht="57.6">
      <c r="A407" s="3" t="s">
        <v>1332</v>
      </c>
      <c r="B407" s="2" t="str">
        <f>TRIM(Table1[[#This Row],[Chat Name]])</f>
        <v>Longstrider</v>
      </c>
      <c r="C407" s="2">
        <v>1</v>
      </c>
      <c r="D407" s="2">
        <v>3</v>
      </c>
      <c r="E407" s="2" t="s">
        <v>244</v>
      </c>
      <c r="F407" s="6" t="b">
        <v>1</v>
      </c>
      <c r="G407" s="6" t="b">
        <v>0</v>
      </c>
      <c r="H407" s="2" t="s">
        <v>34</v>
      </c>
      <c r="I407" s="2" t="b">
        <v>0</v>
      </c>
      <c r="J407" s="2" t="s">
        <v>35</v>
      </c>
      <c r="K407" s="2" t="s">
        <v>110</v>
      </c>
      <c r="L407" s="2" t="b">
        <v>0</v>
      </c>
      <c r="M407" s="2" t="s">
        <v>1333</v>
      </c>
      <c r="N407" s="2" t="s">
        <v>1334</v>
      </c>
      <c r="O407" s="2" t="s">
        <v>341</v>
      </c>
      <c r="P407" s="13" t="s">
        <v>341</v>
      </c>
    </row>
    <row r="408" spans="1:16" ht="209.1">
      <c r="A408" s="3" t="s">
        <v>1335</v>
      </c>
      <c r="B408" s="2" t="str">
        <f>TRIM(Table1[[#This Row],[Chat Name]])</f>
        <v>Lunar Fortune</v>
      </c>
      <c r="C408" s="2">
        <v>4</v>
      </c>
      <c r="D408" s="2">
        <v>15</v>
      </c>
      <c r="E408" s="2" t="s">
        <v>23</v>
      </c>
      <c r="F408" s="7" t="b">
        <v>1</v>
      </c>
      <c r="G408" s="7" t="b">
        <v>0</v>
      </c>
      <c r="H408" s="2" t="s">
        <v>34</v>
      </c>
      <c r="I408" s="2" t="b">
        <v>1</v>
      </c>
      <c r="J408" s="2" t="s">
        <v>1336</v>
      </c>
      <c r="K408" s="2" t="s">
        <v>319</v>
      </c>
      <c r="L408" s="2" t="b">
        <v>1</v>
      </c>
      <c r="M408" s="2"/>
      <c r="N408" s="2" t="s">
        <v>1337</v>
      </c>
      <c r="O408" s="2"/>
    </row>
    <row r="409" spans="1:16" ht="110.65">
      <c r="A409" s="3" t="s">
        <v>1338</v>
      </c>
      <c r="B409" s="2" t="str">
        <f>TRIM(Table1[[#This Row],[Chat Name]])</f>
        <v>Maddening Darkness</v>
      </c>
      <c r="C409" s="2">
        <v>11</v>
      </c>
      <c r="D409" s="2">
        <v>78</v>
      </c>
      <c r="E409" s="2" t="s">
        <v>23</v>
      </c>
      <c r="F409" s="6" t="b">
        <v>1</v>
      </c>
      <c r="G409" s="6" t="b">
        <v>0</v>
      </c>
      <c r="H409" s="2" t="s">
        <v>34</v>
      </c>
      <c r="I409" s="2" t="b">
        <v>1</v>
      </c>
      <c r="J409" s="2" t="s">
        <v>301</v>
      </c>
      <c r="K409" s="2" t="s">
        <v>460</v>
      </c>
      <c r="L409" s="2" t="b">
        <v>0</v>
      </c>
      <c r="M409" s="2" t="s">
        <v>1339</v>
      </c>
      <c r="N409" s="2" t="s">
        <v>1340</v>
      </c>
      <c r="O409" s="2"/>
    </row>
    <row r="410" spans="1:16" ht="86.1">
      <c r="A410" s="3" t="s">
        <v>1341</v>
      </c>
      <c r="B410" s="2" t="str">
        <f>TRIM(Table1[[#This Row],[Chat Name]])</f>
        <v>Maelstrom</v>
      </c>
      <c r="C410" s="2">
        <v>6</v>
      </c>
      <c r="D410" s="2">
        <v>27</v>
      </c>
      <c r="E410" s="2" t="s">
        <v>244</v>
      </c>
      <c r="F410" s="6" t="b">
        <v>1</v>
      </c>
      <c r="G410" s="6" t="b">
        <v>0</v>
      </c>
      <c r="H410" s="2" t="s">
        <v>34</v>
      </c>
      <c r="I410" s="2" t="b">
        <v>1</v>
      </c>
      <c r="J410" s="2" t="s">
        <v>272</v>
      </c>
      <c r="K410" s="2" t="s">
        <v>160</v>
      </c>
      <c r="L410" s="2" t="b">
        <v>0</v>
      </c>
      <c r="M410" s="2" t="s">
        <v>1342</v>
      </c>
      <c r="N410" s="2" t="s">
        <v>1343</v>
      </c>
      <c r="O410" s="2"/>
    </row>
    <row r="411" spans="1:16" ht="196.9">
      <c r="A411" s="3" t="s">
        <v>1344</v>
      </c>
      <c r="B411" s="2" t="str">
        <f>TRIM(Table1[[#This Row],[Chat Name]])</f>
        <v>Magic Circle</v>
      </c>
      <c r="C411" s="2">
        <v>5</v>
      </c>
      <c r="D411" s="2">
        <v>21</v>
      </c>
      <c r="E411" s="2" t="s">
        <v>244</v>
      </c>
      <c r="F411" s="6" t="b">
        <v>1</v>
      </c>
      <c r="G411" s="6" t="b">
        <v>0</v>
      </c>
      <c r="H411" s="2" t="s">
        <v>39</v>
      </c>
      <c r="I411" s="2" t="b">
        <v>0</v>
      </c>
      <c r="J411" s="2" t="s">
        <v>35</v>
      </c>
      <c r="K411" s="2" t="s">
        <v>132</v>
      </c>
      <c r="L411" s="2" t="b">
        <v>0</v>
      </c>
      <c r="M411" s="2" t="s">
        <v>1345</v>
      </c>
      <c r="N411" s="2" t="s">
        <v>1346</v>
      </c>
      <c r="O411" s="2" t="s">
        <v>1347</v>
      </c>
      <c r="P411" s="13" t="s">
        <v>1347</v>
      </c>
    </row>
    <row r="412" spans="1:16" ht="61.5">
      <c r="A412" s="3" t="s">
        <v>1348</v>
      </c>
      <c r="B412" s="2" t="str">
        <f>TRIM(Table1[[#This Row],[Chat Name]])</f>
        <v>Magic Missile</v>
      </c>
      <c r="C412" s="2">
        <v>1</v>
      </c>
      <c r="D412" s="2">
        <v>3</v>
      </c>
      <c r="E412" s="2" t="s">
        <v>30</v>
      </c>
      <c r="F412" s="6" t="b">
        <v>0</v>
      </c>
      <c r="G412" s="6" t="b">
        <v>1</v>
      </c>
      <c r="H412" s="2" t="s">
        <v>34</v>
      </c>
      <c r="I412" s="2" t="b">
        <v>0</v>
      </c>
      <c r="J412" s="2" t="s">
        <v>19</v>
      </c>
      <c r="K412" s="2" t="s">
        <v>160</v>
      </c>
      <c r="L412" s="2" t="b">
        <v>0</v>
      </c>
      <c r="M412" s="2" t="s">
        <v>1349</v>
      </c>
      <c r="N412" s="2" t="s">
        <v>1349</v>
      </c>
      <c r="O412" s="2" t="s">
        <v>1350</v>
      </c>
      <c r="P412" s="13" t="s">
        <v>1350</v>
      </c>
    </row>
    <row r="413" spans="1:16" ht="246">
      <c r="A413" s="3" t="s">
        <v>1351</v>
      </c>
      <c r="B413" s="2" t="str">
        <f>TRIM(Table1[[#This Row],[Chat Name]])</f>
        <v>Magic Mouth</v>
      </c>
      <c r="C413" s="2">
        <v>3</v>
      </c>
      <c r="D413" s="2">
        <v>9</v>
      </c>
      <c r="E413" s="2" t="s">
        <v>96</v>
      </c>
      <c r="F413" s="6" t="b">
        <v>0</v>
      </c>
      <c r="G413" s="6" t="b">
        <v>1</v>
      </c>
      <c r="H413" s="2" t="s">
        <v>39</v>
      </c>
      <c r="I413" s="2" t="b">
        <v>0</v>
      </c>
      <c r="J413" s="2" t="s">
        <v>307</v>
      </c>
      <c r="K413" s="2" t="s">
        <v>52</v>
      </c>
      <c r="L413" s="2" t="b">
        <v>1</v>
      </c>
      <c r="M413" s="2" t="s">
        <v>1352</v>
      </c>
      <c r="N413" s="2" t="s">
        <v>1353</v>
      </c>
      <c r="O413" s="2"/>
    </row>
    <row r="414" spans="1:16" ht="123">
      <c r="A414" s="3" t="s">
        <v>1354</v>
      </c>
      <c r="B414" s="2" t="str">
        <f>TRIM(Table1[[#This Row],[Chat Name]])</f>
        <v>Magic Stone</v>
      </c>
      <c r="C414" s="2">
        <v>0</v>
      </c>
      <c r="D414" s="2">
        <v>0</v>
      </c>
      <c r="E414" s="2" t="s">
        <v>244</v>
      </c>
      <c r="F414" s="6" t="b">
        <v>1</v>
      </c>
      <c r="G414" s="6" t="b">
        <v>0</v>
      </c>
      <c r="H414" s="2" t="s">
        <v>31</v>
      </c>
      <c r="I414" s="2" t="b">
        <v>0</v>
      </c>
      <c r="J414" s="2" t="s">
        <v>39</v>
      </c>
      <c r="K414" s="2" t="s">
        <v>110</v>
      </c>
      <c r="L414" s="2" t="b">
        <v>0</v>
      </c>
      <c r="M414" s="2" t="s">
        <v>1355</v>
      </c>
      <c r="N414" s="2" t="s">
        <v>1356</v>
      </c>
      <c r="O414" s="2"/>
    </row>
    <row r="415" spans="1:16" ht="72">
      <c r="A415" s="3" t="s">
        <v>1357</v>
      </c>
      <c r="B415" s="2" t="str">
        <f>TRIM(Table1[[#This Row],[Chat Name]])</f>
        <v>Magic Weapon</v>
      </c>
      <c r="C415" s="2">
        <v>2</v>
      </c>
      <c r="D415" s="2">
        <v>6</v>
      </c>
      <c r="E415" s="2" t="s">
        <v>30</v>
      </c>
      <c r="F415" s="6" t="b">
        <v>0</v>
      </c>
      <c r="G415" s="6" t="b">
        <v>1</v>
      </c>
      <c r="H415" s="2" t="s">
        <v>31</v>
      </c>
      <c r="I415" s="2" t="b">
        <v>1</v>
      </c>
      <c r="J415" s="2" t="s">
        <v>245</v>
      </c>
      <c r="K415" s="2" t="s">
        <v>110</v>
      </c>
      <c r="L415" s="2" t="b">
        <v>0</v>
      </c>
      <c r="M415" s="2" t="s">
        <v>1358</v>
      </c>
      <c r="N415" s="2" t="s">
        <v>1359</v>
      </c>
      <c r="O415" s="2" t="s">
        <v>1360</v>
      </c>
      <c r="P415" s="13" t="s">
        <v>1360</v>
      </c>
    </row>
    <row r="416" spans="1:16" ht="246">
      <c r="A416" s="3"/>
      <c r="B416" s="2" t="str">
        <f>TRIM(Table1[[#This Row],[Chat Name]])</f>
        <v/>
      </c>
      <c r="C416" s="2">
        <v>4</v>
      </c>
      <c r="D416" s="2">
        <v>15</v>
      </c>
      <c r="E416" s="2" t="s">
        <v>80</v>
      </c>
      <c r="F416" s="6" t="b">
        <v>1</v>
      </c>
      <c r="G416" s="6" t="b">
        <v>0</v>
      </c>
      <c r="H416" s="2" t="s">
        <v>34</v>
      </c>
      <c r="I416" s="2" t="b">
        <v>1</v>
      </c>
      <c r="J416" s="2" t="s">
        <v>39</v>
      </c>
      <c r="K416" s="2" t="s">
        <v>132</v>
      </c>
      <c r="L416" s="2" t="b">
        <v>0</v>
      </c>
      <c r="M416" s="2"/>
      <c r="N416" s="2" t="s">
        <v>1361</v>
      </c>
      <c r="O416" s="2" t="s">
        <v>1362</v>
      </c>
      <c r="P416" s="13" t="s">
        <v>1363</v>
      </c>
    </row>
    <row r="417" spans="1:16" ht="123">
      <c r="A417" s="3" t="s">
        <v>1364</v>
      </c>
      <c r="B417" s="2" t="str">
        <f>TRIM(Table1[[#This Row],[Chat Name]])</f>
        <v>Magnify Gravity</v>
      </c>
      <c r="C417" s="2">
        <v>1</v>
      </c>
      <c r="D417" s="2">
        <v>3</v>
      </c>
      <c r="E417" s="2" t="s">
        <v>30</v>
      </c>
      <c r="F417" s="6" t="b">
        <v>0</v>
      </c>
      <c r="G417" s="6" t="b">
        <v>1</v>
      </c>
      <c r="H417" s="2" t="s">
        <v>34</v>
      </c>
      <c r="I417" s="2" t="b">
        <v>0</v>
      </c>
      <c r="J417" s="2" t="s">
        <v>144</v>
      </c>
      <c r="K417" s="2" t="s">
        <v>56</v>
      </c>
      <c r="L417" s="2" t="b">
        <v>0</v>
      </c>
      <c r="M417" s="2" t="s">
        <v>1365</v>
      </c>
      <c r="N417" s="2" t="s">
        <v>1366</v>
      </c>
      <c r="O417" s="2" t="s">
        <v>1006</v>
      </c>
      <c r="P417" s="13" t="s">
        <v>1006</v>
      </c>
    </row>
    <row r="418" spans="1:16" ht="295.14999999999998">
      <c r="A418" s="3" t="s">
        <v>1367</v>
      </c>
      <c r="B418" s="2" t="str">
        <f>TRIM(Table1[[#This Row],[Chat Name]])</f>
        <v>Major Image</v>
      </c>
      <c r="C418" s="2">
        <v>4</v>
      </c>
      <c r="D418" s="2">
        <v>15</v>
      </c>
      <c r="E418" s="2" t="s">
        <v>96</v>
      </c>
      <c r="F418" s="6" t="b">
        <v>0</v>
      </c>
      <c r="G418" s="6" t="b">
        <v>1</v>
      </c>
      <c r="H418" s="2" t="s">
        <v>34</v>
      </c>
      <c r="I418" s="2" t="b">
        <v>1</v>
      </c>
      <c r="J418" s="2" t="s">
        <v>301</v>
      </c>
      <c r="K418" s="2" t="s">
        <v>160</v>
      </c>
      <c r="L418" s="2" t="b">
        <v>0</v>
      </c>
      <c r="M418" s="2" t="s">
        <v>1368</v>
      </c>
      <c r="N418" s="2" t="s">
        <v>1369</v>
      </c>
      <c r="O418" s="2" t="s">
        <v>1370</v>
      </c>
      <c r="P418" s="13" t="s">
        <v>1370</v>
      </c>
    </row>
    <row r="419" spans="1:16" ht="73.900000000000006">
      <c r="A419" s="3"/>
      <c r="B419" s="2" t="str">
        <f>TRIM(Table1[[#This Row],[Chat Name]])</f>
        <v/>
      </c>
      <c r="C419" s="2">
        <v>2</v>
      </c>
      <c r="D419" s="2">
        <v>6</v>
      </c>
      <c r="E419" s="2" t="s">
        <v>244</v>
      </c>
      <c r="F419" s="6" t="b">
        <v>1</v>
      </c>
      <c r="G419" s="6" t="b">
        <v>0</v>
      </c>
      <c r="H419" s="2" t="s">
        <v>34</v>
      </c>
      <c r="I419" s="2" t="b">
        <v>1</v>
      </c>
      <c r="J419" s="2" t="s">
        <v>39</v>
      </c>
      <c r="K419" s="2" t="s">
        <v>56</v>
      </c>
      <c r="L419" s="2" t="b">
        <v>0</v>
      </c>
      <c r="M419" s="2"/>
      <c r="N419" s="2" t="s">
        <v>1371</v>
      </c>
      <c r="O419" s="2" t="s">
        <v>1372</v>
      </c>
      <c r="P419" s="13" t="s">
        <v>1373</v>
      </c>
    </row>
    <row r="420" spans="1:16" ht="57.6">
      <c r="A420" s="3"/>
      <c r="B420" s="2" t="str">
        <f>TRIM(Table1[[#This Row],[Chat Name]])</f>
        <v/>
      </c>
      <c r="C420" s="2">
        <v>0</v>
      </c>
      <c r="D420" s="2">
        <v>0</v>
      </c>
      <c r="E420" s="2" t="s">
        <v>30</v>
      </c>
      <c r="F420" s="6" t="b">
        <v>0</v>
      </c>
      <c r="G420" s="6" t="b">
        <v>1</v>
      </c>
      <c r="H420" s="2" t="s">
        <v>34</v>
      </c>
      <c r="I420" s="2" t="b">
        <v>0</v>
      </c>
      <c r="J420" s="2" t="s">
        <v>144</v>
      </c>
      <c r="K420" s="2" t="s">
        <v>59</v>
      </c>
      <c r="L420" s="2" t="b">
        <v>0</v>
      </c>
      <c r="M420" s="2"/>
      <c r="N420" s="2" t="s">
        <v>1374</v>
      </c>
      <c r="O420" s="2" t="s">
        <v>1375</v>
      </c>
      <c r="P420" s="13" t="s">
        <v>1375</v>
      </c>
    </row>
    <row r="421" spans="1:16" ht="36.950000000000003">
      <c r="A421" s="3"/>
      <c r="B421" s="2" t="str">
        <f>TRIM(Table1[[#This Row],[Chat Name]])</f>
        <v/>
      </c>
      <c r="C421" s="2">
        <v>3</v>
      </c>
      <c r="D421" s="2">
        <v>9</v>
      </c>
      <c r="E421" s="2" t="s">
        <v>96</v>
      </c>
      <c r="F421" s="6" t="b">
        <v>0</v>
      </c>
      <c r="G421" s="6" t="b">
        <v>1</v>
      </c>
      <c r="H421" s="2" t="s">
        <v>1376</v>
      </c>
      <c r="I421" s="2" t="b">
        <v>0</v>
      </c>
      <c r="J421" s="2" t="s">
        <v>19</v>
      </c>
      <c r="K421" s="2" t="s">
        <v>56</v>
      </c>
      <c r="L421" s="2" t="b">
        <v>0</v>
      </c>
      <c r="M421" s="2"/>
      <c r="N421" s="2" t="s">
        <v>1377</v>
      </c>
      <c r="O421" s="2"/>
    </row>
    <row r="422" spans="1:16" ht="172.15">
      <c r="A422" s="3" t="s">
        <v>1378</v>
      </c>
      <c r="B422" s="2" t="str">
        <f>TRIM(Table1[[#This Row],[Chat Name]])</f>
        <v>Drawmij's Instant Summons</v>
      </c>
      <c r="C422" s="2">
        <v>9</v>
      </c>
      <c r="D422" s="2">
        <v>54</v>
      </c>
      <c r="E422" s="2" t="s">
        <v>30</v>
      </c>
      <c r="F422" s="6" t="b">
        <v>0</v>
      </c>
      <c r="G422" s="6" t="b">
        <v>1</v>
      </c>
      <c r="H422" s="2" t="s">
        <v>39</v>
      </c>
      <c r="I422" s="2" t="b">
        <v>0</v>
      </c>
      <c r="J422" s="2" t="s">
        <v>307</v>
      </c>
      <c r="K422" s="2" t="s">
        <v>110</v>
      </c>
      <c r="L422" s="2" t="b">
        <v>1</v>
      </c>
      <c r="M422" s="2" t="s">
        <v>1379</v>
      </c>
      <c r="N422" s="2" t="s">
        <v>1380</v>
      </c>
      <c r="O422" s="2"/>
    </row>
    <row r="423" spans="1:16" ht="282.95">
      <c r="A423" s="3" t="s">
        <v>1381</v>
      </c>
      <c r="B423" s="2" t="str">
        <f>TRIM(Table1[[#This Row],[Chat Name]])</f>
        <v>Galder's Tower</v>
      </c>
      <c r="C423" s="2">
        <v>4</v>
      </c>
      <c r="D423" s="2">
        <v>15</v>
      </c>
      <c r="E423" s="2" t="s">
        <v>30</v>
      </c>
      <c r="F423" s="6" t="b">
        <v>0</v>
      </c>
      <c r="G423" s="6" t="b">
        <v>1</v>
      </c>
      <c r="H423" s="2" t="s">
        <v>18</v>
      </c>
      <c r="I423" s="2" t="b">
        <v>0</v>
      </c>
      <c r="J423" s="2" t="s">
        <v>232</v>
      </c>
      <c r="K423" s="2" t="s">
        <v>52</v>
      </c>
      <c r="L423" s="2" t="b">
        <v>0</v>
      </c>
      <c r="M423" s="2" t="s">
        <v>1382</v>
      </c>
      <c r="N423" s="2" t="s">
        <v>1383</v>
      </c>
      <c r="O423" s="2" t="s">
        <v>1384</v>
      </c>
      <c r="P423" s="13" t="s">
        <v>1384</v>
      </c>
    </row>
    <row r="424" spans="1:16" ht="61.5">
      <c r="A424" s="3" t="s">
        <v>1385</v>
      </c>
      <c r="B424" s="2" t="str">
        <f>TRIM(Table1[[#This Row],[Chat Name]])</f>
        <v>Mass Cure Wounds</v>
      </c>
      <c r="C424" s="2">
        <v>7</v>
      </c>
      <c r="D424" s="2">
        <v>36</v>
      </c>
      <c r="E424" s="2" t="s">
        <v>80</v>
      </c>
      <c r="F424" s="6" t="b">
        <v>1</v>
      </c>
      <c r="G424" s="6" t="b">
        <v>0</v>
      </c>
      <c r="H424" s="2" t="s">
        <v>34</v>
      </c>
      <c r="I424" s="2" t="b">
        <v>0</v>
      </c>
      <c r="J424" s="2" t="s">
        <v>19</v>
      </c>
      <c r="K424" s="2" t="s">
        <v>56</v>
      </c>
      <c r="L424" s="2" t="b">
        <v>0</v>
      </c>
      <c r="M424" s="2" t="s">
        <v>1386</v>
      </c>
      <c r="N424" s="2" t="s">
        <v>1387</v>
      </c>
      <c r="O424" s="2" t="s">
        <v>1388</v>
      </c>
      <c r="P424" s="13" t="s">
        <v>1388</v>
      </c>
    </row>
    <row r="425" spans="1:16" ht="73.900000000000006">
      <c r="A425" s="3" t="s">
        <v>1389</v>
      </c>
      <c r="B425" s="2" t="str">
        <f>TRIM(Table1[[#This Row],[Chat Name]])</f>
        <v>Mass Heal</v>
      </c>
      <c r="C425" s="2">
        <v>12</v>
      </c>
      <c r="D425" s="2">
        <v>90</v>
      </c>
      <c r="E425" s="2" t="s">
        <v>80</v>
      </c>
      <c r="F425" s="6" t="b">
        <v>1</v>
      </c>
      <c r="G425" s="6" t="b">
        <v>0</v>
      </c>
      <c r="H425" s="2" t="s">
        <v>34</v>
      </c>
      <c r="I425" s="2" t="b">
        <v>0</v>
      </c>
      <c r="J425" s="2" t="s">
        <v>19</v>
      </c>
      <c r="K425" s="2" t="s">
        <v>56</v>
      </c>
      <c r="L425" s="2" t="b">
        <v>0</v>
      </c>
      <c r="M425" s="2" t="s">
        <v>1390</v>
      </c>
      <c r="N425" s="2" t="s">
        <v>1391</v>
      </c>
      <c r="O425" s="2"/>
    </row>
    <row r="426" spans="1:16" ht="57.6">
      <c r="A426" s="3" t="s">
        <v>1392</v>
      </c>
      <c r="B426" s="2" t="str">
        <f>TRIM(Table1[[#This Row],[Chat Name]])</f>
        <v>Mass Healing Word</v>
      </c>
      <c r="C426" s="2">
        <v>4</v>
      </c>
      <c r="D426" s="2">
        <v>15</v>
      </c>
      <c r="E426" s="2" t="s">
        <v>80</v>
      </c>
      <c r="F426" s="6" t="b">
        <v>1</v>
      </c>
      <c r="G426" s="6" t="b">
        <v>0</v>
      </c>
      <c r="H426" s="2" t="s">
        <v>31</v>
      </c>
      <c r="I426" s="2" t="b">
        <v>0</v>
      </c>
      <c r="J426" s="2" t="s">
        <v>19</v>
      </c>
      <c r="K426" s="2" t="s">
        <v>56</v>
      </c>
      <c r="L426" s="2" t="b">
        <v>0</v>
      </c>
      <c r="M426" s="2" t="s">
        <v>1393</v>
      </c>
      <c r="N426" s="2" t="s">
        <v>1394</v>
      </c>
      <c r="O426" s="2" t="s">
        <v>1395</v>
      </c>
      <c r="P426" s="13" t="s">
        <v>1395</v>
      </c>
    </row>
    <row r="427" spans="1:16" ht="270.60000000000002">
      <c r="A427" s="3" t="s">
        <v>1396</v>
      </c>
      <c r="B427" s="2" t="str">
        <f>TRIM(Table1[[#This Row],[Chat Name]])</f>
        <v>Mass Polymorph</v>
      </c>
      <c r="C427" s="2">
        <v>12</v>
      </c>
      <c r="D427" s="2">
        <v>90</v>
      </c>
      <c r="E427" s="2" t="s">
        <v>244</v>
      </c>
      <c r="F427" s="6" t="b">
        <v>1</v>
      </c>
      <c r="G427" s="6" t="b">
        <v>0</v>
      </c>
      <c r="H427" s="2" t="s">
        <v>34</v>
      </c>
      <c r="I427" s="2" t="b">
        <v>1</v>
      </c>
      <c r="J427" s="2" t="s">
        <v>245</v>
      </c>
      <c r="K427" s="2" t="s">
        <v>160</v>
      </c>
      <c r="L427" s="2" t="b">
        <v>0</v>
      </c>
      <c r="M427" s="2" t="s">
        <v>1397</v>
      </c>
      <c r="N427" s="2" t="s">
        <v>1398</v>
      </c>
      <c r="O427" s="2"/>
    </row>
    <row r="428" spans="1:16" ht="246">
      <c r="A428" s="3" t="s">
        <v>1399</v>
      </c>
      <c r="B428" s="2" t="str">
        <f>TRIM(Table1[[#This Row],[Chat Name]])</f>
        <v>Mass Suggestion</v>
      </c>
      <c r="C428" s="2">
        <v>8</v>
      </c>
      <c r="D428" s="2">
        <v>45</v>
      </c>
      <c r="E428" s="2" t="s">
        <v>73</v>
      </c>
      <c r="F428" s="6" t="b">
        <v>0</v>
      </c>
      <c r="G428" s="6" t="b">
        <v>1</v>
      </c>
      <c r="H428" s="2" t="s">
        <v>34</v>
      </c>
      <c r="I428" s="2" t="b">
        <v>0</v>
      </c>
      <c r="J428" s="2" t="s">
        <v>232</v>
      </c>
      <c r="K428" s="2" t="s">
        <v>56</v>
      </c>
      <c r="L428" s="2" t="b">
        <v>0</v>
      </c>
      <c r="M428" s="2" t="s">
        <v>1400</v>
      </c>
      <c r="N428" s="2" t="s">
        <v>1401</v>
      </c>
      <c r="O428" s="2" t="s">
        <v>1402</v>
      </c>
      <c r="P428" s="13" t="s">
        <v>1402</v>
      </c>
    </row>
    <row r="429" spans="1:16" ht="98.45">
      <c r="A429" s="3" t="s">
        <v>1403</v>
      </c>
      <c r="B429" s="2" t="str">
        <f>TRIM(Table1[[#This Row],[Chat Name]])</f>
        <v>Maze</v>
      </c>
      <c r="C429" s="2">
        <v>10</v>
      </c>
      <c r="D429" s="2">
        <v>66</v>
      </c>
      <c r="E429" s="2" t="s">
        <v>96</v>
      </c>
      <c r="F429" s="6" t="b">
        <v>0</v>
      </c>
      <c r="G429" s="6" t="b">
        <v>1</v>
      </c>
      <c r="H429" s="2" t="s">
        <v>34</v>
      </c>
      <c r="I429" s="2" t="b">
        <v>1</v>
      </c>
      <c r="J429" s="2" t="s">
        <v>301</v>
      </c>
      <c r="K429" s="2" t="s">
        <v>56</v>
      </c>
      <c r="L429" s="2" t="b">
        <v>0</v>
      </c>
      <c r="M429" s="2" t="s">
        <v>1404</v>
      </c>
      <c r="N429" s="2" t="s">
        <v>1405</v>
      </c>
      <c r="O429" s="2"/>
    </row>
    <row r="430" spans="1:16" ht="233.65">
      <c r="A430" s="3" t="s">
        <v>1406</v>
      </c>
      <c r="B430" s="2" t="str">
        <f>TRIM(Table1[[#This Row],[Chat Name]])</f>
        <v>Meld into Stone</v>
      </c>
      <c r="C430" s="2">
        <v>4</v>
      </c>
      <c r="D430" s="2">
        <v>15</v>
      </c>
      <c r="E430" s="2" t="s">
        <v>244</v>
      </c>
      <c r="F430" s="6" t="b">
        <v>1</v>
      </c>
      <c r="G430" s="6" t="b">
        <v>0</v>
      </c>
      <c r="H430" s="2" t="s">
        <v>34</v>
      </c>
      <c r="I430" s="2" t="b">
        <v>0</v>
      </c>
      <c r="J430" s="2" t="s">
        <v>40</v>
      </c>
      <c r="K430" s="2" t="s">
        <v>110</v>
      </c>
      <c r="L430" s="2" t="b">
        <v>1</v>
      </c>
      <c r="M430" s="2" t="s">
        <v>1407</v>
      </c>
      <c r="N430" s="2" t="s">
        <v>1408</v>
      </c>
      <c r="O430" s="2"/>
    </row>
    <row r="431" spans="1:16" ht="86.1">
      <c r="A431" s="3" t="s">
        <v>1409</v>
      </c>
      <c r="B431" s="2" t="str">
        <f>TRIM(Table1[[#This Row],[Chat Name]])</f>
        <v>Mending</v>
      </c>
      <c r="C431" s="2">
        <v>0</v>
      </c>
      <c r="D431" s="2">
        <v>0</v>
      </c>
      <c r="E431" s="2" t="s">
        <v>80</v>
      </c>
      <c r="F431" s="6" t="b">
        <v>1</v>
      </c>
      <c r="G431" s="6" t="b">
        <v>0</v>
      </c>
      <c r="H431" s="2" t="s">
        <v>39</v>
      </c>
      <c r="I431" s="2" t="b">
        <v>0</v>
      </c>
      <c r="J431" s="2" t="s">
        <v>19</v>
      </c>
      <c r="K431" s="2" t="s">
        <v>110</v>
      </c>
      <c r="L431" s="2" t="b">
        <v>0</v>
      </c>
      <c r="M431" s="2" t="s">
        <v>1410</v>
      </c>
      <c r="N431" s="2" t="s">
        <v>1411</v>
      </c>
      <c r="O431" s="2"/>
    </row>
    <row r="432" spans="1:16" ht="184.5">
      <c r="A432" s="3" t="s">
        <v>1412</v>
      </c>
      <c r="B432" s="2" t="str">
        <f>TRIM(Table1[[#This Row],[Chat Name]])</f>
        <v>Mental Prison</v>
      </c>
      <c r="C432" s="2">
        <v>8</v>
      </c>
      <c r="D432" s="2">
        <v>45</v>
      </c>
      <c r="E432" s="2" t="s">
        <v>73</v>
      </c>
      <c r="F432" s="6" t="b">
        <v>0</v>
      </c>
      <c r="G432" s="6" t="b">
        <v>1</v>
      </c>
      <c r="H432" s="2" t="s">
        <v>34</v>
      </c>
      <c r="I432" s="2" t="b">
        <v>1</v>
      </c>
      <c r="J432" s="2" t="s">
        <v>272</v>
      </c>
      <c r="K432" s="2" t="s">
        <v>56</v>
      </c>
      <c r="L432" s="2" t="b">
        <v>0</v>
      </c>
      <c r="M432" s="2" t="s">
        <v>1413</v>
      </c>
      <c r="N432" s="2" t="s">
        <v>1414</v>
      </c>
      <c r="O432" s="2"/>
    </row>
    <row r="433" spans="1:16" ht="110.65">
      <c r="A433" s="3" t="s">
        <v>1415</v>
      </c>
      <c r="B433" s="2" t="str">
        <f>TRIM(Table1[[#This Row],[Chat Name]])</f>
        <v>Message</v>
      </c>
      <c r="C433" s="2">
        <v>0</v>
      </c>
      <c r="D433" s="2">
        <v>0</v>
      </c>
      <c r="E433" s="2" t="s">
        <v>73</v>
      </c>
      <c r="F433" s="6" t="b">
        <v>0</v>
      </c>
      <c r="G433" s="6" t="b">
        <v>1</v>
      </c>
      <c r="H433" s="2" t="s">
        <v>34</v>
      </c>
      <c r="I433" s="2" t="b">
        <v>0</v>
      </c>
      <c r="J433" s="2" t="s">
        <v>144</v>
      </c>
      <c r="K433" s="2" t="s">
        <v>160</v>
      </c>
      <c r="L433" s="2" t="b">
        <v>0</v>
      </c>
      <c r="M433" s="2" t="s">
        <v>1416</v>
      </c>
      <c r="N433" s="2" t="s">
        <v>1417</v>
      </c>
      <c r="O433" s="2"/>
    </row>
    <row r="434" spans="1:16" ht="123">
      <c r="A434" s="3" t="s">
        <v>1418</v>
      </c>
      <c r="B434" s="2" t="str">
        <f>TRIM(Table1[[#This Row],[Chat Name]])</f>
        <v>Melf's Minute Meteors</v>
      </c>
      <c r="C434" s="2">
        <v>3</v>
      </c>
      <c r="D434" s="2">
        <v>9</v>
      </c>
      <c r="E434" s="2" t="s">
        <v>23</v>
      </c>
      <c r="F434" s="6" t="b">
        <v>1</v>
      </c>
      <c r="G434" s="6" t="b">
        <v>0</v>
      </c>
      <c r="H434" s="2" t="s">
        <v>34</v>
      </c>
      <c r="I434" s="2" t="b">
        <v>1</v>
      </c>
      <c r="J434" s="2" t="s">
        <v>301</v>
      </c>
      <c r="K434" s="2" t="s">
        <v>59</v>
      </c>
      <c r="L434" s="2" t="b">
        <v>0</v>
      </c>
      <c r="M434" s="2" t="s">
        <v>1419</v>
      </c>
      <c r="N434" s="2" t="s">
        <v>1420</v>
      </c>
      <c r="O434" s="2" t="s">
        <v>1421</v>
      </c>
      <c r="P434" s="13" t="s">
        <v>1421</v>
      </c>
    </row>
    <row r="435" spans="1:16" ht="110.65">
      <c r="A435" s="3" t="s">
        <v>1422</v>
      </c>
      <c r="B435" s="2" t="str">
        <f>TRIM(Table1[[#This Row],[Chat Name]])</f>
        <v>Meteor Swarm</v>
      </c>
      <c r="C435" s="2">
        <v>12</v>
      </c>
      <c r="D435" s="2">
        <v>90</v>
      </c>
      <c r="E435" s="2" t="s">
        <v>17</v>
      </c>
      <c r="F435" s="6" t="b">
        <v>0</v>
      </c>
      <c r="G435" s="6" t="b">
        <v>1</v>
      </c>
      <c r="H435" s="2" t="s">
        <v>34</v>
      </c>
      <c r="I435" s="2" t="b">
        <v>0</v>
      </c>
      <c r="J435" s="2" t="s">
        <v>19</v>
      </c>
      <c r="K435" s="2" t="s">
        <v>866</v>
      </c>
      <c r="L435" s="2" t="b">
        <v>0</v>
      </c>
      <c r="M435" s="2" t="s">
        <v>1423</v>
      </c>
      <c r="N435" s="2" t="s">
        <v>1424</v>
      </c>
      <c r="O435" s="2"/>
    </row>
    <row r="436" spans="1:16" ht="409.5">
      <c r="A436" s="3" t="s">
        <v>1425</v>
      </c>
      <c r="B436" s="2" t="str">
        <f>TRIM(Table1[[#This Row],[Chat Name]])</f>
        <v>Mighty Fortress</v>
      </c>
      <c r="C436" s="2">
        <v>10</v>
      </c>
      <c r="D436" s="2">
        <v>66</v>
      </c>
      <c r="E436" s="2" t="s">
        <v>30</v>
      </c>
      <c r="F436" s="6" t="b">
        <v>0</v>
      </c>
      <c r="G436" s="6" t="b">
        <v>1</v>
      </c>
      <c r="H436" s="2" t="s">
        <v>39</v>
      </c>
      <c r="I436" s="2" t="b">
        <v>0</v>
      </c>
      <c r="J436" s="2" t="s">
        <v>19</v>
      </c>
      <c r="K436" s="2" t="s">
        <v>866</v>
      </c>
      <c r="L436" s="2" t="b">
        <v>0</v>
      </c>
      <c r="M436" s="2" t="s">
        <v>1426</v>
      </c>
      <c r="N436" s="2" t="s">
        <v>1427</v>
      </c>
      <c r="O436" s="2"/>
    </row>
    <row r="437" spans="1:16" ht="73.900000000000006">
      <c r="A437" s="3" t="s">
        <v>1428</v>
      </c>
      <c r="B437" s="2" t="str">
        <f>TRIM(Table1[[#This Row],[Chat Name]])</f>
        <v>Mind Blank</v>
      </c>
      <c r="C437" s="2">
        <v>10</v>
      </c>
      <c r="D437" s="2">
        <v>66</v>
      </c>
      <c r="E437" s="2" t="s">
        <v>73</v>
      </c>
      <c r="F437" s="6" t="b">
        <v>0</v>
      </c>
      <c r="G437" s="6" t="b">
        <v>1</v>
      </c>
      <c r="H437" s="2" t="s">
        <v>34</v>
      </c>
      <c r="I437" s="2" t="b">
        <v>0</v>
      </c>
      <c r="J437" s="2" t="s">
        <v>232</v>
      </c>
      <c r="K437" s="2" t="s">
        <v>110</v>
      </c>
      <c r="L437" s="2" t="b">
        <v>0</v>
      </c>
      <c r="M437" s="2" t="s">
        <v>1429</v>
      </c>
      <c r="N437" s="2" t="s">
        <v>1430</v>
      </c>
      <c r="O437" s="2"/>
    </row>
    <row r="438" spans="1:16" ht="196.9">
      <c r="A438" s="3" t="s">
        <v>1431</v>
      </c>
      <c r="B438" s="2" t="str">
        <f>TRIM(Table1[[#This Row],[Chat Name]])</f>
        <v>Mind Fog</v>
      </c>
      <c r="C438" s="2">
        <v>5</v>
      </c>
      <c r="D438" s="2">
        <v>21</v>
      </c>
      <c r="E438" s="2" t="s">
        <v>1432</v>
      </c>
      <c r="F438" s="7" t="b">
        <v>0</v>
      </c>
      <c r="G438" s="7" t="b">
        <v>1</v>
      </c>
      <c r="H438" s="2" t="s">
        <v>34</v>
      </c>
      <c r="I438" s="2" t="b">
        <v>1</v>
      </c>
      <c r="J438" s="2" t="s">
        <v>39</v>
      </c>
      <c r="K438" s="2">
        <v>120</v>
      </c>
      <c r="L438" s="2" t="b">
        <v>0</v>
      </c>
      <c r="M438" s="2"/>
      <c r="N438" s="2" t="s">
        <v>1433</v>
      </c>
      <c r="O438" s="2" t="s">
        <v>1434</v>
      </c>
      <c r="P438" s="13" t="s">
        <v>1434</v>
      </c>
    </row>
    <row r="439" spans="1:16" ht="49.15">
      <c r="A439" s="3"/>
      <c r="B439" s="2" t="str">
        <f>TRIM(Table1[[#This Row],[Chat Name]])</f>
        <v/>
      </c>
      <c r="C439" s="2">
        <v>0</v>
      </c>
      <c r="D439" s="2">
        <v>0</v>
      </c>
      <c r="E439" s="2" t="s">
        <v>73</v>
      </c>
      <c r="F439" s="6" t="b">
        <v>0</v>
      </c>
      <c r="G439" s="6" t="b">
        <v>1</v>
      </c>
      <c r="H439" s="2" t="s">
        <v>34</v>
      </c>
      <c r="I439" s="2" t="b">
        <v>0</v>
      </c>
      <c r="J439" s="2" t="s">
        <v>19</v>
      </c>
      <c r="K439" s="2" t="s">
        <v>56</v>
      </c>
      <c r="L439" s="2" t="b">
        <v>0</v>
      </c>
      <c r="M439" s="2"/>
      <c r="N439" s="2" t="s">
        <v>1435</v>
      </c>
      <c r="O439" s="2" t="s">
        <v>1436</v>
      </c>
      <c r="P439" s="13" t="s">
        <v>1436</v>
      </c>
    </row>
    <row r="440" spans="1:16" ht="86.1">
      <c r="A440" s="3" t="s">
        <v>1437</v>
      </c>
      <c r="B440" s="2" t="str">
        <f>TRIM(Table1[[#This Row],[Chat Name]])</f>
        <v>Mind Sliver</v>
      </c>
      <c r="C440" s="2">
        <v>0</v>
      </c>
      <c r="D440" s="2">
        <v>0</v>
      </c>
      <c r="E440" s="2" t="s">
        <v>73</v>
      </c>
      <c r="F440" s="6" t="b">
        <v>0</v>
      </c>
      <c r="G440" s="6" t="b">
        <v>1</v>
      </c>
      <c r="H440" s="2" t="s">
        <v>34</v>
      </c>
      <c r="I440" s="2" t="b">
        <v>0</v>
      </c>
      <c r="J440" s="2" t="s">
        <v>144</v>
      </c>
      <c r="K440" s="2" t="s">
        <v>56</v>
      </c>
      <c r="L440" s="2" t="b">
        <v>0</v>
      </c>
      <c r="M440" s="2" t="s">
        <v>1438</v>
      </c>
      <c r="N440" s="2" t="s">
        <v>1439</v>
      </c>
      <c r="O440" s="2"/>
    </row>
    <row r="441" spans="1:16" ht="98.45">
      <c r="A441" s="3" t="s">
        <v>1440</v>
      </c>
      <c r="B441" s="2" t="str">
        <f>TRIM(Table1[[#This Row],[Chat Name]])</f>
        <v>Mind Spike</v>
      </c>
      <c r="C441" s="2">
        <v>2</v>
      </c>
      <c r="D441" s="2">
        <v>6</v>
      </c>
      <c r="E441" s="2" t="s">
        <v>73</v>
      </c>
      <c r="F441" s="6" t="b">
        <v>0</v>
      </c>
      <c r="G441" s="6" t="b">
        <v>1</v>
      </c>
      <c r="H441" s="2" t="s">
        <v>34</v>
      </c>
      <c r="I441" s="2" t="b">
        <v>1</v>
      </c>
      <c r="J441" s="2" t="s">
        <v>245</v>
      </c>
      <c r="K441" s="2" t="s">
        <v>56</v>
      </c>
      <c r="L441" s="2" t="b">
        <v>0</v>
      </c>
      <c r="M441" s="2" t="s">
        <v>1441</v>
      </c>
      <c r="N441" s="2" t="s">
        <v>1442</v>
      </c>
      <c r="O441" s="2" t="s">
        <v>774</v>
      </c>
      <c r="P441" s="13" t="s">
        <v>774</v>
      </c>
    </row>
    <row r="442" spans="1:16" ht="209.1">
      <c r="A442" s="3" t="s">
        <v>1443</v>
      </c>
      <c r="B442" s="2" t="str">
        <f>TRIM(Table1[[#This Row],[Chat Name]])</f>
        <v>Minor Illusion</v>
      </c>
      <c r="C442" s="2">
        <v>0</v>
      </c>
      <c r="D442" s="2">
        <v>0</v>
      </c>
      <c r="E442" s="2" t="s">
        <v>96</v>
      </c>
      <c r="F442" s="6" t="b">
        <v>0</v>
      </c>
      <c r="G442" s="6" t="b">
        <v>1</v>
      </c>
      <c r="H442" s="2" t="s">
        <v>34</v>
      </c>
      <c r="I442" s="2" t="b">
        <v>0</v>
      </c>
      <c r="J442" s="2" t="s">
        <v>39</v>
      </c>
      <c r="K442" s="2" t="s">
        <v>52</v>
      </c>
      <c r="L442" s="2" t="b">
        <v>0</v>
      </c>
      <c r="M442" s="2" t="s">
        <v>1444</v>
      </c>
      <c r="N442" s="2" t="s">
        <v>1445</v>
      </c>
      <c r="O442" s="2"/>
    </row>
    <row r="443" spans="1:16" ht="233.65">
      <c r="A443" s="3" t="s">
        <v>1446</v>
      </c>
      <c r="B443" s="2" t="str">
        <f>TRIM(Table1[[#This Row],[Chat Name]])</f>
        <v>Mirage Arcane</v>
      </c>
      <c r="C443" s="2">
        <v>9</v>
      </c>
      <c r="D443" s="2">
        <v>54</v>
      </c>
      <c r="E443" s="2" t="s">
        <v>96</v>
      </c>
      <c r="F443" s="6" t="b">
        <v>0</v>
      </c>
      <c r="G443" s="6" t="b">
        <v>1</v>
      </c>
      <c r="H443" s="2" t="s">
        <v>18</v>
      </c>
      <c r="I443" s="2" t="b">
        <v>0</v>
      </c>
      <c r="J443" s="2" t="s">
        <v>288</v>
      </c>
      <c r="K443" s="2" t="s">
        <v>1447</v>
      </c>
      <c r="L443" s="2" t="b">
        <v>0</v>
      </c>
      <c r="M443" s="2" t="s">
        <v>1448</v>
      </c>
      <c r="N443" s="2" t="s">
        <v>1449</v>
      </c>
      <c r="O443" s="2"/>
    </row>
    <row r="444" spans="1:16" ht="209.1">
      <c r="A444" s="3" t="s">
        <v>1450</v>
      </c>
      <c r="B444" s="2" t="str">
        <f>TRIM(Table1[[#This Row],[Chat Name]])</f>
        <v>Mirror Image</v>
      </c>
      <c r="C444" s="2">
        <v>3</v>
      </c>
      <c r="D444" s="2">
        <v>9</v>
      </c>
      <c r="E444" s="2" t="s">
        <v>96</v>
      </c>
      <c r="F444" s="6" t="b">
        <v>0</v>
      </c>
      <c r="G444" s="6" t="b">
        <v>1</v>
      </c>
      <c r="H444" s="2" t="s">
        <v>34</v>
      </c>
      <c r="I444" s="2" t="b">
        <v>0</v>
      </c>
      <c r="J444" s="2" t="s">
        <v>39</v>
      </c>
      <c r="K444" s="2" t="s">
        <v>59</v>
      </c>
      <c r="L444" s="2" t="b">
        <v>0</v>
      </c>
      <c r="M444" s="2" t="s">
        <v>1451</v>
      </c>
      <c r="N444" s="2" t="s">
        <v>1452</v>
      </c>
      <c r="O444" s="2"/>
    </row>
    <row r="445" spans="1:16" ht="135.4">
      <c r="A445" s="3" t="s">
        <v>1453</v>
      </c>
      <c r="B445" s="2" t="str">
        <f>TRIM(Table1[[#This Row],[Chat Name]])</f>
        <v>Mislead</v>
      </c>
      <c r="C445" s="2">
        <v>6</v>
      </c>
      <c r="D445" s="2">
        <v>27</v>
      </c>
      <c r="E445" s="2" t="s">
        <v>96</v>
      </c>
      <c r="F445" s="6" t="b">
        <v>0</v>
      </c>
      <c r="G445" s="6" t="b">
        <v>1</v>
      </c>
      <c r="H445" s="2" t="s">
        <v>34</v>
      </c>
      <c r="I445" s="2" t="b">
        <v>1</v>
      </c>
      <c r="J445" s="2" t="s">
        <v>245</v>
      </c>
      <c r="K445" s="2" t="s">
        <v>59</v>
      </c>
      <c r="L445" s="2" t="b">
        <v>0</v>
      </c>
      <c r="M445" s="2" t="s">
        <v>1454</v>
      </c>
      <c r="N445" s="2" t="s">
        <v>1455</v>
      </c>
      <c r="O445" s="2"/>
    </row>
    <row r="446" spans="1:16" ht="24.6">
      <c r="A446" s="3" t="s">
        <v>1456</v>
      </c>
      <c r="B446" s="2" t="str">
        <f>TRIM(Table1[[#This Row],[Chat Name]])</f>
        <v>Misty Step</v>
      </c>
      <c r="C446" s="2">
        <v>2</v>
      </c>
      <c r="D446" s="2">
        <v>6</v>
      </c>
      <c r="E446" s="2" t="s">
        <v>153</v>
      </c>
      <c r="F446" s="6" t="b">
        <v>1</v>
      </c>
      <c r="G446" s="6" t="b">
        <v>0</v>
      </c>
      <c r="H446" s="2" t="s">
        <v>31</v>
      </c>
      <c r="I446" s="2" t="b">
        <v>0</v>
      </c>
      <c r="J446" s="2" t="s">
        <v>19</v>
      </c>
      <c r="K446" s="2" t="s">
        <v>59</v>
      </c>
      <c r="L446" s="2" t="b">
        <v>0</v>
      </c>
      <c r="M446" s="2" t="s">
        <v>1457</v>
      </c>
      <c r="N446" s="2" t="s">
        <v>1457</v>
      </c>
      <c r="O446" s="2"/>
    </row>
    <row r="447" spans="1:16" ht="369">
      <c r="A447" s="3" t="s">
        <v>1458</v>
      </c>
      <c r="B447" s="2" t="str">
        <f>TRIM(Table1[[#This Row],[Chat Name]])</f>
        <v>Modify Memory</v>
      </c>
      <c r="C447" s="2">
        <v>7</v>
      </c>
      <c r="D447" s="2">
        <v>36</v>
      </c>
      <c r="E447" s="2" t="s">
        <v>73</v>
      </c>
      <c r="F447" s="6" t="b">
        <v>0</v>
      </c>
      <c r="G447" s="6" t="b">
        <v>1</v>
      </c>
      <c r="H447" s="2" t="s">
        <v>34</v>
      </c>
      <c r="I447" s="2" t="b">
        <v>1</v>
      </c>
      <c r="J447" s="2" t="s">
        <v>272</v>
      </c>
      <c r="K447" s="2" t="s">
        <v>52</v>
      </c>
      <c r="L447" s="2" t="b">
        <v>0</v>
      </c>
      <c r="M447" s="2" t="s">
        <v>1459</v>
      </c>
      <c r="N447" s="2" t="s">
        <v>1460</v>
      </c>
      <c r="O447" s="2" t="s">
        <v>1461</v>
      </c>
      <c r="P447" s="13" t="s">
        <v>1461</v>
      </c>
    </row>
    <row r="448" spans="1:16" ht="184.5">
      <c r="A448" s="3" t="s">
        <v>1462</v>
      </c>
      <c r="B448" s="2" t="str">
        <f>TRIM(Table1[[#This Row],[Chat Name]])</f>
        <v>Mold Earth</v>
      </c>
      <c r="C448" s="2">
        <v>0</v>
      </c>
      <c r="D448" s="2">
        <v>0</v>
      </c>
      <c r="E448" s="2" t="s">
        <v>244</v>
      </c>
      <c r="F448" s="6" t="b">
        <v>1</v>
      </c>
      <c r="G448" s="6" t="b">
        <v>0</v>
      </c>
      <c r="H448" s="2" t="s">
        <v>34</v>
      </c>
      <c r="I448" s="2" t="b">
        <v>0</v>
      </c>
      <c r="J448" s="2" t="s">
        <v>581</v>
      </c>
      <c r="K448" s="2" t="s">
        <v>52</v>
      </c>
      <c r="L448" s="2" t="b">
        <v>0</v>
      </c>
      <c r="M448" s="2" t="s">
        <v>1463</v>
      </c>
      <c r="N448" s="2" t="s">
        <v>1464</v>
      </c>
      <c r="O448" s="2"/>
    </row>
    <row r="449" spans="1:16" ht="100.9">
      <c r="A449" s="3"/>
      <c r="B449" s="2" t="str">
        <f>TRIM(Table1[[#This Row],[Chat Name]])</f>
        <v/>
      </c>
      <c r="C449" s="2">
        <v>1</v>
      </c>
      <c r="D449" s="2">
        <v>3</v>
      </c>
      <c r="E449" s="2" t="s">
        <v>96</v>
      </c>
      <c r="F449" s="6" t="b">
        <v>0</v>
      </c>
      <c r="G449" s="6" t="b">
        <v>1</v>
      </c>
      <c r="H449" s="2" t="s">
        <v>31</v>
      </c>
      <c r="I449" s="2" t="b">
        <v>0</v>
      </c>
      <c r="J449" s="2" t="s">
        <v>39</v>
      </c>
      <c r="K449" s="2" t="s">
        <v>59</v>
      </c>
      <c r="L449" s="2" t="b">
        <v>0</v>
      </c>
      <c r="M449" s="2"/>
      <c r="N449" s="2" t="s">
        <v>1465</v>
      </c>
      <c r="O449" s="2" t="s">
        <v>1466</v>
      </c>
      <c r="P449" s="13" t="s">
        <v>1466</v>
      </c>
    </row>
    <row r="450" spans="1:16" ht="147.6">
      <c r="A450" s="3" t="s">
        <v>1467</v>
      </c>
      <c r="B450" s="2" t="str">
        <f>TRIM(Table1[[#This Row],[Chat Name]])</f>
        <v>Moonbeam</v>
      </c>
      <c r="C450" s="2">
        <v>3</v>
      </c>
      <c r="D450" s="2">
        <v>9</v>
      </c>
      <c r="E450" s="2" t="s">
        <v>23</v>
      </c>
      <c r="F450" s="6" t="b">
        <v>1</v>
      </c>
      <c r="G450" s="6" t="b">
        <v>0</v>
      </c>
      <c r="H450" s="2" t="s">
        <v>34</v>
      </c>
      <c r="I450" s="2" t="b">
        <v>1</v>
      </c>
      <c r="J450" s="2" t="s">
        <v>272</v>
      </c>
      <c r="K450" s="2" t="s">
        <v>160</v>
      </c>
      <c r="L450" s="2" t="b">
        <v>0</v>
      </c>
      <c r="M450" s="2" t="s">
        <v>1468</v>
      </c>
      <c r="N450" s="2" t="s">
        <v>1469</v>
      </c>
      <c r="O450" s="2" t="s">
        <v>1470</v>
      </c>
      <c r="P450" s="13" t="s">
        <v>1470</v>
      </c>
    </row>
    <row r="451" spans="1:16" ht="86.1">
      <c r="A451" s="3" t="s">
        <v>1471</v>
      </c>
      <c r="B451" s="2" t="str">
        <f>TRIM(Table1[[#This Row],[Chat Name]])</f>
        <v>Motivational Speech</v>
      </c>
      <c r="C451" s="2">
        <v>4</v>
      </c>
      <c r="D451" s="2">
        <v>15</v>
      </c>
      <c r="E451" s="2" t="s">
        <v>80</v>
      </c>
      <c r="F451" s="6" t="b">
        <v>1</v>
      </c>
      <c r="G451" s="6" t="b">
        <v>0</v>
      </c>
      <c r="H451" s="2" t="s">
        <v>39</v>
      </c>
      <c r="I451" s="2" t="b">
        <v>0</v>
      </c>
      <c r="J451" s="2" t="s">
        <v>35</v>
      </c>
      <c r="K451" s="2" t="s">
        <v>56</v>
      </c>
      <c r="L451" s="2" t="b">
        <v>0</v>
      </c>
      <c r="M451" s="2" t="s">
        <v>1472</v>
      </c>
      <c r="N451" s="2" t="s">
        <v>1473</v>
      </c>
      <c r="O451" s="2" t="s">
        <v>1474</v>
      </c>
      <c r="P451" s="13" t="s">
        <v>1474</v>
      </c>
    </row>
    <row r="452" spans="1:16" ht="233.65">
      <c r="A452" s="3" t="s">
        <v>1475</v>
      </c>
      <c r="B452" s="2" t="str">
        <f>TRIM(Table1[[#This Row],[Chat Name]])</f>
        <v>Move Earth</v>
      </c>
      <c r="C452" s="2">
        <v>7</v>
      </c>
      <c r="D452" s="2">
        <v>36</v>
      </c>
      <c r="E452" s="2" t="s">
        <v>153</v>
      </c>
      <c r="F452" s="6" t="b">
        <v>1</v>
      </c>
      <c r="G452" s="6" t="b">
        <v>0</v>
      </c>
      <c r="H452" s="2" t="s">
        <v>34</v>
      </c>
      <c r="I452" s="2" t="b">
        <v>1</v>
      </c>
      <c r="J452" s="2" t="s">
        <v>1476</v>
      </c>
      <c r="K452" s="2" t="s">
        <v>160</v>
      </c>
      <c r="L452" s="2" t="b">
        <v>0</v>
      </c>
      <c r="M452" s="2" t="s">
        <v>1477</v>
      </c>
      <c r="N452" s="2" t="s">
        <v>1478</v>
      </c>
      <c r="O452" s="2"/>
    </row>
    <row r="453" spans="1:16" ht="86.45">
      <c r="A453" s="3" t="s">
        <v>1479</v>
      </c>
      <c r="B453" s="2" t="str">
        <f>TRIM(Table1[[#This Row],[Chat Name]])</f>
        <v>Ashardalon's Stride</v>
      </c>
      <c r="C453" s="2">
        <v>3</v>
      </c>
      <c r="D453" s="2">
        <v>9</v>
      </c>
      <c r="E453" s="2" t="s">
        <v>153</v>
      </c>
      <c r="F453" s="6" t="b">
        <v>1</v>
      </c>
      <c r="G453" s="6" t="b">
        <v>0</v>
      </c>
      <c r="H453" s="2" t="s">
        <v>31</v>
      </c>
      <c r="I453" s="2" t="b">
        <v>1</v>
      </c>
      <c r="J453" s="2" t="s">
        <v>272</v>
      </c>
      <c r="K453" s="2" t="s">
        <v>59</v>
      </c>
      <c r="L453" s="2" t="b">
        <v>0</v>
      </c>
      <c r="M453" s="2" t="s">
        <v>1480</v>
      </c>
      <c r="N453" s="2" t="s">
        <v>1480</v>
      </c>
      <c r="O453" s="2" t="s">
        <v>1481</v>
      </c>
      <c r="P453" s="13" t="s">
        <v>1481</v>
      </c>
    </row>
    <row r="454" spans="1:16" ht="86.1">
      <c r="A454" s="3" t="s">
        <v>1482</v>
      </c>
      <c r="B454" s="2" t="str">
        <f>TRIM(Table1[[#This Row],[Chat Name]])</f>
        <v>Shilleleghgh</v>
      </c>
      <c r="C454" s="2">
        <v>0</v>
      </c>
      <c r="D454" s="2">
        <v>0</v>
      </c>
      <c r="E454" s="2" t="s">
        <v>244</v>
      </c>
      <c r="F454" s="6" t="b">
        <v>1</v>
      </c>
      <c r="G454" s="6" t="b">
        <v>0</v>
      </c>
      <c r="H454" s="2" t="s">
        <v>34</v>
      </c>
      <c r="I454" s="2" t="b">
        <v>0</v>
      </c>
      <c r="J454" s="2" t="s">
        <v>39</v>
      </c>
      <c r="K454" s="2" t="s">
        <v>110</v>
      </c>
      <c r="L454" s="2" t="b">
        <v>0</v>
      </c>
      <c r="M454" s="2" t="s">
        <v>1483</v>
      </c>
      <c r="N454" s="2" t="s">
        <v>1484</v>
      </c>
      <c r="O454" s="2" t="s">
        <v>1485</v>
      </c>
      <c r="P454" s="13" t="s">
        <v>1486</v>
      </c>
    </row>
    <row r="455" spans="1:16" ht="147.6">
      <c r="A455" s="3" t="s">
        <v>1487</v>
      </c>
      <c r="B455" s="2" t="str">
        <f>TRIM(Table1[[#This Row],[Chat Name]])</f>
        <v>Druidcraft</v>
      </c>
      <c r="C455" s="2">
        <v>0</v>
      </c>
      <c r="D455" s="2">
        <v>0</v>
      </c>
      <c r="E455" s="2" t="s">
        <v>244</v>
      </c>
      <c r="F455" s="6" t="b">
        <v>1</v>
      </c>
      <c r="G455" s="6" t="b">
        <v>0</v>
      </c>
      <c r="H455" s="2" t="s">
        <v>34</v>
      </c>
      <c r="I455" s="2" t="b">
        <v>0</v>
      </c>
      <c r="J455" s="2" t="s">
        <v>19</v>
      </c>
      <c r="K455" s="2" t="s">
        <v>52</v>
      </c>
      <c r="L455" s="2" t="b">
        <v>0</v>
      </c>
      <c r="M455" s="2" t="s">
        <v>1488</v>
      </c>
      <c r="N455" s="2" t="s">
        <v>1489</v>
      </c>
      <c r="O455" s="2" t="s">
        <v>1490</v>
      </c>
      <c r="P455" s="13" t="s">
        <v>1491</v>
      </c>
    </row>
    <row r="456" spans="1:16" ht="123">
      <c r="A456" s="3" t="s">
        <v>1492</v>
      </c>
      <c r="B456" s="2" t="str">
        <f>TRIM(Table1[[#This Row],[Chat Name]])</f>
        <v>Negative Energy Flood</v>
      </c>
      <c r="C456" s="2">
        <v>6</v>
      </c>
      <c r="D456" s="2">
        <v>27</v>
      </c>
      <c r="E456" s="2" t="s">
        <v>17</v>
      </c>
      <c r="F456" s="6" t="b">
        <v>0</v>
      </c>
      <c r="G456" s="6" t="b">
        <v>1</v>
      </c>
      <c r="H456" s="2" t="s">
        <v>34</v>
      </c>
      <c r="I456" s="2" t="b">
        <v>0</v>
      </c>
      <c r="J456" s="2" t="s">
        <v>19</v>
      </c>
      <c r="K456" s="2" t="s">
        <v>56</v>
      </c>
      <c r="L456" s="2" t="b">
        <v>0</v>
      </c>
      <c r="M456" s="2" t="s">
        <v>1493</v>
      </c>
      <c r="N456" s="2" t="s">
        <v>1494</v>
      </c>
      <c r="O456" s="2"/>
    </row>
    <row r="457" spans="1:16" ht="86.1">
      <c r="A457" s="3" t="s">
        <v>1495</v>
      </c>
      <c r="B457" s="2" t="str">
        <f>TRIM(Table1[[#This Row],[Chat Name]])</f>
        <v>Arms of Hadar</v>
      </c>
      <c r="C457" s="2">
        <v>1</v>
      </c>
      <c r="D457" s="2">
        <v>3</v>
      </c>
      <c r="E457" s="2" t="s">
        <v>17</v>
      </c>
      <c r="F457" s="6" t="b">
        <v>0</v>
      </c>
      <c r="G457" s="6" t="b">
        <v>1</v>
      </c>
      <c r="H457" s="2" t="s">
        <v>34</v>
      </c>
      <c r="I457" s="2" t="b">
        <v>0</v>
      </c>
      <c r="J457" s="2" t="s">
        <v>19</v>
      </c>
      <c r="K457" s="2" t="s">
        <v>280</v>
      </c>
      <c r="L457" s="2" t="b">
        <v>0</v>
      </c>
      <c r="M457" s="2" t="s">
        <v>1496</v>
      </c>
      <c r="N457" s="2" t="s">
        <v>1496</v>
      </c>
      <c r="O457" s="2" t="s">
        <v>435</v>
      </c>
      <c r="P457" s="13" t="s">
        <v>435</v>
      </c>
    </row>
    <row r="458" spans="1:16" ht="98.45">
      <c r="A458" s="3" t="s">
        <v>1497</v>
      </c>
      <c r="B458" s="2" t="str">
        <f>TRIM(Table1[[#This Row],[Chat Name]])</f>
        <v>Mordenkainen's Sword</v>
      </c>
      <c r="C458" s="2">
        <v>10</v>
      </c>
      <c r="D458" s="2">
        <v>66</v>
      </c>
      <c r="E458" s="2" t="s">
        <v>17</v>
      </c>
      <c r="F458" s="6" t="b">
        <v>0</v>
      </c>
      <c r="G458" s="6" t="b">
        <v>1</v>
      </c>
      <c r="H458" s="2" t="s">
        <v>34</v>
      </c>
      <c r="I458" s="2" t="b">
        <v>1</v>
      </c>
      <c r="J458" s="2" t="s">
        <v>272</v>
      </c>
      <c r="K458" s="2" t="s">
        <v>56</v>
      </c>
      <c r="L458" s="2" t="b">
        <v>0</v>
      </c>
      <c r="M458" s="2" t="s">
        <v>1498</v>
      </c>
      <c r="N458" s="2" t="s">
        <v>1499</v>
      </c>
      <c r="O458" s="2"/>
    </row>
    <row r="459" spans="1:16" ht="184.5">
      <c r="A459" s="3" t="s">
        <v>1500</v>
      </c>
      <c r="B459" s="2" t="str">
        <f>TRIM(Table1[[#This Row],[Chat Name]])</f>
        <v>Tenser's Transformation</v>
      </c>
      <c r="C459" s="2">
        <v>8</v>
      </c>
      <c r="D459" s="2">
        <v>45</v>
      </c>
      <c r="E459" s="2" t="s">
        <v>244</v>
      </c>
      <c r="F459" s="6" t="b">
        <v>1</v>
      </c>
      <c r="G459" s="6" t="b">
        <v>0</v>
      </c>
      <c r="H459" s="2" t="s">
        <v>34</v>
      </c>
      <c r="I459" s="2" t="b">
        <v>1</v>
      </c>
      <c r="J459" s="2" t="s">
        <v>301</v>
      </c>
      <c r="K459" s="2" t="s">
        <v>59</v>
      </c>
      <c r="L459" s="2" t="b">
        <v>0</v>
      </c>
      <c r="M459" s="2" t="s">
        <v>1501</v>
      </c>
      <c r="N459" s="2" t="s">
        <v>1502</v>
      </c>
      <c r="O459" s="2"/>
    </row>
    <row r="460" spans="1:16" ht="61.5">
      <c r="A460" s="3" t="s">
        <v>1503</v>
      </c>
      <c r="B460" s="2" t="str">
        <f>TRIM(Table1[[#This Row],[Chat Name]])</f>
        <v>Nondetection</v>
      </c>
      <c r="C460" s="2">
        <v>4</v>
      </c>
      <c r="D460" s="2">
        <v>15</v>
      </c>
      <c r="E460" s="2" t="s">
        <v>73</v>
      </c>
      <c r="F460" s="6" t="b">
        <v>0</v>
      </c>
      <c r="G460" s="6" t="b">
        <v>1</v>
      </c>
      <c r="H460" s="2" t="s">
        <v>34</v>
      </c>
      <c r="I460" s="2" t="b">
        <v>0</v>
      </c>
      <c r="J460" s="2" t="s">
        <v>40</v>
      </c>
      <c r="K460" s="2" t="s">
        <v>110</v>
      </c>
      <c r="L460" s="2" t="b">
        <v>0</v>
      </c>
      <c r="M460" s="2" t="s">
        <v>1504</v>
      </c>
      <c r="N460" s="2" t="s">
        <v>1505</v>
      </c>
      <c r="O460" s="2"/>
    </row>
    <row r="461" spans="1:16" ht="147.6">
      <c r="A461" s="3" t="s">
        <v>1506</v>
      </c>
      <c r="B461" s="2" t="str">
        <f>TRIM(Table1[[#This Row],[Chat Name]])</f>
        <v>Spirit Guardians</v>
      </c>
      <c r="C461" s="2">
        <v>4</v>
      </c>
      <c r="D461" s="2">
        <v>15</v>
      </c>
      <c r="E461" s="2" t="s">
        <v>23</v>
      </c>
      <c r="F461" s="6" t="b">
        <v>1</v>
      </c>
      <c r="G461" s="6" t="b">
        <v>0</v>
      </c>
      <c r="H461" s="2" t="s">
        <v>34</v>
      </c>
      <c r="I461" s="2" t="b">
        <v>1</v>
      </c>
      <c r="J461" s="2" t="s">
        <v>301</v>
      </c>
      <c r="K461" s="2" t="s">
        <v>1317</v>
      </c>
      <c r="L461" s="2" t="b">
        <v>0</v>
      </c>
      <c r="M461" s="2" t="s">
        <v>1507</v>
      </c>
      <c r="N461" s="2" t="s">
        <v>1508</v>
      </c>
      <c r="O461" s="2" t="s">
        <v>1301</v>
      </c>
      <c r="P461" s="13" t="s">
        <v>1301</v>
      </c>
    </row>
    <row r="462" spans="1:16" ht="98.45">
      <c r="A462" s="3" t="s">
        <v>1509</v>
      </c>
      <c r="B462" s="2" t="str">
        <f>TRIM(Table1[[#This Row],[Chat Name]])</f>
        <v>Abi-Dalzim's Horrid Wilting</v>
      </c>
      <c r="C462" s="2">
        <v>10</v>
      </c>
      <c r="D462" s="2">
        <v>66</v>
      </c>
      <c r="E462" s="2" t="s">
        <v>17</v>
      </c>
      <c r="F462" s="6" t="b">
        <v>0</v>
      </c>
      <c r="G462" s="6" t="b">
        <v>1</v>
      </c>
      <c r="H462" s="2" t="s">
        <v>34</v>
      </c>
      <c r="I462" s="2" t="b">
        <v>0</v>
      </c>
      <c r="J462" s="2" t="s">
        <v>19</v>
      </c>
      <c r="K462" s="2" t="s">
        <v>460</v>
      </c>
      <c r="L462" s="2" t="b">
        <v>0</v>
      </c>
      <c r="M462" s="2" t="s">
        <v>1510</v>
      </c>
      <c r="N462" s="2" t="s">
        <v>1511</v>
      </c>
      <c r="O462" s="2"/>
    </row>
    <row r="463" spans="1:16" ht="123">
      <c r="A463" s="3" t="s">
        <v>1512</v>
      </c>
      <c r="B463" s="2" t="str">
        <f>TRIM(Table1[[#This Row],[Chat Name]])</f>
        <v>Orb of Infatuation</v>
      </c>
      <c r="C463" s="2">
        <v>5</v>
      </c>
      <c r="D463" s="2">
        <v>21</v>
      </c>
      <c r="E463" s="2" t="s">
        <v>73</v>
      </c>
      <c r="F463" s="7" t="b">
        <v>0</v>
      </c>
      <c r="G463" s="7" t="b">
        <v>1</v>
      </c>
      <c r="H463" s="2" t="s">
        <v>34</v>
      </c>
      <c r="I463" s="2" t="b">
        <v>0</v>
      </c>
      <c r="J463" s="2" t="s">
        <v>19</v>
      </c>
      <c r="K463" s="2" t="s">
        <v>52</v>
      </c>
      <c r="L463" s="2" t="b">
        <v>0</v>
      </c>
      <c r="M463" s="2"/>
      <c r="N463" s="2" t="s">
        <v>1513</v>
      </c>
      <c r="O463" s="2"/>
    </row>
    <row r="464" spans="1:16" ht="184.5">
      <c r="A464" s="3" t="s">
        <v>1514</v>
      </c>
      <c r="B464" s="2" t="str">
        <f>TRIM(Table1[[#This Row],[Chat Name]])</f>
        <v>Tasha's Otherworldly Guise</v>
      </c>
      <c r="C464" s="2">
        <v>8</v>
      </c>
      <c r="D464" s="2">
        <v>45</v>
      </c>
      <c r="E464" s="2" t="s">
        <v>96</v>
      </c>
      <c r="F464" s="6" t="b">
        <v>0</v>
      </c>
      <c r="G464" s="6" t="b">
        <v>1</v>
      </c>
      <c r="H464" s="2" t="s">
        <v>31</v>
      </c>
      <c r="I464" s="2" t="b">
        <v>1</v>
      </c>
      <c r="J464" s="2" t="s">
        <v>272</v>
      </c>
      <c r="K464" s="2" t="s">
        <v>59</v>
      </c>
      <c r="L464" s="2" t="b">
        <v>0</v>
      </c>
      <c r="M464" s="2" t="s">
        <v>1515</v>
      </c>
      <c r="N464" s="2" t="s">
        <v>1516</v>
      </c>
      <c r="O464" s="2"/>
    </row>
    <row r="465" spans="1:16" ht="123">
      <c r="A465" s="3" t="s">
        <v>1517</v>
      </c>
      <c r="B465" s="2" t="str">
        <f>TRIM(Table1[[#This Row],[Chat Name]])</f>
        <v>Otto's Irresistible Dance</v>
      </c>
      <c r="C465" s="2">
        <v>7</v>
      </c>
      <c r="D465" s="2">
        <v>36</v>
      </c>
      <c r="E465" s="2" t="s">
        <v>73</v>
      </c>
      <c r="F465" s="6" t="b">
        <v>0</v>
      </c>
      <c r="G465" s="6" t="b">
        <v>1</v>
      </c>
      <c r="H465" s="2" t="s">
        <v>34</v>
      </c>
      <c r="I465" s="2" t="b">
        <v>1</v>
      </c>
      <c r="J465" s="2" t="s">
        <v>272</v>
      </c>
      <c r="K465" s="2" t="s">
        <v>52</v>
      </c>
      <c r="L465" s="2" t="b">
        <v>0</v>
      </c>
      <c r="M465" s="2" t="s">
        <v>1518</v>
      </c>
      <c r="N465" s="2" t="s">
        <v>1519</v>
      </c>
      <c r="O465" s="2"/>
    </row>
    <row r="466" spans="1:16" ht="73.900000000000006">
      <c r="A466" s="3" t="s">
        <v>1520</v>
      </c>
      <c r="B466" s="2" t="str">
        <f>TRIM(Table1[[#This Row],[Chat Name]])</f>
        <v>Pass without Trace</v>
      </c>
      <c r="C466" s="2">
        <v>2</v>
      </c>
      <c r="D466" s="2">
        <v>6</v>
      </c>
      <c r="E466" s="2" t="s">
        <v>244</v>
      </c>
      <c r="F466" s="6" t="b">
        <v>1</v>
      </c>
      <c r="G466" s="6" t="b">
        <v>0</v>
      </c>
      <c r="H466" s="2" t="s">
        <v>34</v>
      </c>
      <c r="I466" s="2" t="b">
        <v>1</v>
      </c>
      <c r="J466" s="2" t="s">
        <v>245</v>
      </c>
      <c r="K466" s="2" t="s">
        <v>59</v>
      </c>
      <c r="L466" s="2" t="b">
        <v>0</v>
      </c>
      <c r="M466" s="2" t="s">
        <v>1521</v>
      </c>
      <c r="N466" s="2" t="s">
        <v>1522</v>
      </c>
      <c r="O466" s="2"/>
    </row>
    <row r="467" spans="1:16" ht="110.65">
      <c r="A467" s="3" t="s">
        <v>1523</v>
      </c>
      <c r="B467" s="2" t="str">
        <f>TRIM(Table1[[#This Row],[Chat Name]])</f>
        <v>Passwall</v>
      </c>
      <c r="C467" s="2">
        <v>6</v>
      </c>
      <c r="D467" s="2">
        <v>27</v>
      </c>
      <c r="E467" s="2" t="s">
        <v>96</v>
      </c>
      <c r="F467" s="6" t="b">
        <v>0</v>
      </c>
      <c r="G467" s="6" t="b">
        <v>1</v>
      </c>
      <c r="H467" s="2" t="s">
        <v>34</v>
      </c>
      <c r="I467" s="2" t="b">
        <v>0</v>
      </c>
      <c r="J467" s="2" t="s">
        <v>35</v>
      </c>
      <c r="K467" s="2" t="s">
        <v>52</v>
      </c>
      <c r="L467" s="2" t="b">
        <v>0</v>
      </c>
      <c r="M467" s="2" t="s">
        <v>1524</v>
      </c>
      <c r="N467" s="2" t="s">
        <v>1525</v>
      </c>
      <c r="O467" s="2"/>
    </row>
    <row r="468" spans="1:16" ht="369">
      <c r="A468" s="3" t="s">
        <v>1526</v>
      </c>
      <c r="B468" s="2" t="str">
        <f>TRIM(Table1[[#This Row],[Chat Name]])</f>
        <v>Phantasmal Force</v>
      </c>
      <c r="C468" s="2">
        <v>3</v>
      </c>
      <c r="D468" s="2">
        <v>9</v>
      </c>
      <c r="E468" s="2" t="s">
        <v>73</v>
      </c>
      <c r="F468" s="6" t="b">
        <v>0</v>
      </c>
      <c r="G468" s="6" t="b">
        <v>1</v>
      </c>
      <c r="H468" s="2" t="s">
        <v>34</v>
      </c>
      <c r="I468" s="2" t="b">
        <v>1</v>
      </c>
      <c r="J468" s="2" t="s">
        <v>272</v>
      </c>
      <c r="K468" s="2" t="s">
        <v>56</v>
      </c>
      <c r="L468" s="2" t="b">
        <v>0</v>
      </c>
      <c r="M468" s="2" t="s">
        <v>1527</v>
      </c>
      <c r="N468" s="2" t="s">
        <v>1528</v>
      </c>
      <c r="O468" s="2"/>
    </row>
    <row r="469" spans="1:16" ht="98.45">
      <c r="A469" s="3" t="s">
        <v>1529</v>
      </c>
      <c r="B469" s="2" t="str">
        <f>TRIM(Table1[[#This Row],[Chat Name]])</f>
        <v>Phantasmal Killer</v>
      </c>
      <c r="C469" s="2">
        <v>5</v>
      </c>
      <c r="D469" s="2">
        <v>21</v>
      </c>
      <c r="E469" s="2" t="s">
        <v>73</v>
      </c>
      <c r="F469" s="6" t="b">
        <v>0</v>
      </c>
      <c r="G469" s="6" t="b">
        <v>1</v>
      </c>
      <c r="H469" s="2" t="s">
        <v>34</v>
      </c>
      <c r="I469" s="2" t="b">
        <v>1</v>
      </c>
      <c r="J469" s="2" t="s">
        <v>272</v>
      </c>
      <c r="K469" s="2" t="s">
        <v>160</v>
      </c>
      <c r="L469" s="2" t="b">
        <v>0</v>
      </c>
      <c r="M469" s="2" t="s">
        <v>1530</v>
      </c>
      <c r="N469" s="2" t="s">
        <v>1531</v>
      </c>
      <c r="O469" s="2" t="s">
        <v>1079</v>
      </c>
      <c r="P469" s="13" t="s">
        <v>1079</v>
      </c>
    </row>
    <row r="470" spans="1:16" ht="147.6">
      <c r="A470" s="3" t="s">
        <v>1532</v>
      </c>
      <c r="B470" s="2" t="str">
        <f>TRIM(Table1[[#This Row],[Chat Name]])</f>
        <v>Phantom Steed</v>
      </c>
      <c r="C470" s="2">
        <v>4</v>
      </c>
      <c r="D470" s="2">
        <v>15</v>
      </c>
      <c r="E470" s="2" t="s">
        <v>30</v>
      </c>
      <c r="F470" s="6" t="b">
        <v>0</v>
      </c>
      <c r="G470" s="6" t="b">
        <v>1</v>
      </c>
      <c r="H470" s="2" t="s">
        <v>39</v>
      </c>
      <c r="I470" s="2" t="b">
        <v>0</v>
      </c>
      <c r="J470" s="2" t="s">
        <v>35</v>
      </c>
      <c r="K470" s="2" t="s">
        <v>52</v>
      </c>
      <c r="L470" s="2" t="b">
        <v>1</v>
      </c>
      <c r="M470" s="2" t="s">
        <v>1533</v>
      </c>
      <c r="N470" s="2" t="s">
        <v>1534</v>
      </c>
      <c r="O470" s="2"/>
    </row>
    <row r="471" spans="1:16" ht="159.94999999999999">
      <c r="A471" s="3" t="s">
        <v>1535</v>
      </c>
      <c r="B471" s="2" t="str">
        <f>TRIM(Table1[[#This Row],[Chat Name]])</f>
        <v>Mordenkainen's Faithful Hound</v>
      </c>
      <c r="C471" s="2">
        <v>5</v>
      </c>
      <c r="D471" s="2">
        <v>21</v>
      </c>
      <c r="E471" s="2" t="s">
        <v>73</v>
      </c>
      <c r="F471" s="6" t="b">
        <v>0</v>
      </c>
      <c r="G471" s="6" t="b">
        <v>1</v>
      </c>
      <c r="H471" s="2" t="s">
        <v>34</v>
      </c>
      <c r="I471" s="2" t="b">
        <v>0</v>
      </c>
      <c r="J471" s="2" t="s">
        <v>40</v>
      </c>
      <c r="K471" s="2" t="s">
        <v>52</v>
      </c>
      <c r="L471" s="2" t="b">
        <v>0</v>
      </c>
      <c r="M471" s="2" t="s">
        <v>1536</v>
      </c>
      <c r="N471" s="2" t="s">
        <v>1537</v>
      </c>
      <c r="O471" s="2"/>
    </row>
    <row r="472" spans="1:16" ht="184.5">
      <c r="A472" s="3" t="s">
        <v>1538</v>
      </c>
      <c r="B472" s="2" t="str">
        <f>TRIM(Table1[[#This Row],[Chat Name]])</f>
        <v>Planar Ally</v>
      </c>
      <c r="C472" s="2">
        <v>8</v>
      </c>
      <c r="D472" s="2">
        <v>45</v>
      </c>
      <c r="E472" s="2" t="s">
        <v>80</v>
      </c>
      <c r="F472" s="6" t="b">
        <v>1</v>
      </c>
      <c r="G472" s="6" t="b">
        <v>0</v>
      </c>
      <c r="H472" s="2" t="s">
        <v>18</v>
      </c>
      <c r="I472" s="2" t="b">
        <v>0</v>
      </c>
      <c r="J472" s="2" t="s">
        <v>19</v>
      </c>
      <c r="K472" s="2" t="s">
        <v>56</v>
      </c>
      <c r="L472" s="2" t="b">
        <v>0</v>
      </c>
      <c r="M472" s="2"/>
      <c r="N472" s="2" t="s">
        <v>1539</v>
      </c>
      <c r="O472" s="2"/>
    </row>
    <row r="473" spans="1:16" ht="246">
      <c r="A473" s="3" t="s">
        <v>1540</v>
      </c>
      <c r="B473" s="2" t="str">
        <f>TRIM(Table1[[#This Row],[Chat Name]])</f>
        <v>Planar Binding</v>
      </c>
      <c r="C473" s="2">
        <v>6</v>
      </c>
      <c r="D473" s="2">
        <v>27</v>
      </c>
      <c r="E473" s="2" t="s">
        <v>17</v>
      </c>
      <c r="F473" s="6" t="b">
        <v>0</v>
      </c>
      <c r="G473" s="6" t="b">
        <v>1</v>
      </c>
      <c r="H473" s="2" t="s">
        <v>35</v>
      </c>
      <c r="I473" s="2" t="b">
        <v>0</v>
      </c>
      <c r="J473" s="2" t="s">
        <v>232</v>
      </c>
      <c r="K473" s="2" t="s">
        <v>56</v>
      </c>
      <c r="L473" s="2" t="b">
        <v>0</v>
      </c>
      <c r="M473" s="2" t="s">
        <v>1541</v>
      </c>
      <c r="N473" s="2" t="s">
        <v>1542</v>
      </c>
      <c r="O473" s="2" t="s">
        <v>1543</v>
      </c>
      <c r="P473" s="13" t="s">
        <v>1543</v>
      </c>
    </row>
    <row r="474" spans="1:16" ht="246">
      <c r="A474" s="3" t="s">
        <v>1544</v>
      </c>
      <c r="B474" s="2" t="str">
        <f>TRIM(Table1[[#This Row],[Chat Name]])</f>
        <v>Plane Shift</v>
      </c>
      <c r="C474" s="2">
        <v>10</v>
      </c>
      <c r="D474" s="2">
        <v>66</v>
      </c>
      <c r="E474" s="2" t="s">
        <v>30</v>
      </c>
      <c r="F474" s="6" t="b">
        <v>0</v>
      </c>
      <c r="G474" s="6" t="b">
        <v>1</v>
      </c>
      <c r="H474" s="2" t="s">
        <v>34</v>
      </c>
      <c r="I474" s="2" t="b">
        <v>0</v>
      </c>
      <c r="J474" s="2" t="s">
        <v>19</v>
      </c>
      <c r="K474" s="2" t="s">
        <v>110</v>
      </c>
      <c r="L474" s="2" t="b">
        <v>0</v>
      </c>
      <c r="M474" s="2" t="s">
        <v>1545</v>
      </c>
      <c r="N474" s="2" t="s">
        <v>1546</v>
      </c>
      <c r="O474" s="2"/>
    </row>
    <row r="475" spans="1:16" ht="147.6">
      <c r="A475" s="3" t="s">
        <v>1547</v>
      </c>
      <c r="B475" s="2" t="str">
        <f>TRIM(Table1[[#This Row],[Chat Name]])</f>
        <v>Plant Growth</v>
      </c>
      <c r="C475" s="2">
        <v>3</v>
      </c>
      <c r="D475" s="2">
        <v>9</v>
      </c>
      <c r="E475" s="2" t="s">
        <v>244</v>
      </c>
      <c r="F475" s="6" t="b">
        <v>1</v>
      </c>
      <c r="G475" s="6" t="b">
        <v>0</v>
      </c>
      <c r="H475" s="2" t="s">
        <v>1548</v>
      </c>
      <c r="I475" s="2" t="b">
        <v>0</v>
      </c>
      <c r="J475" s="2" t="s">
        <v>19</v>
      </c>
      <c r="K475" s="2" t="s">
        <v>460</v>
      </c>
      <c r="L475" s="2" t="b">
        <v>0</v>
      </c>
      <c r="M475" s="2" t="s">
        <v>1549</v>
      </c>
      <c r="N475" s="2" t="s">
        <v>1550</v>
      </c>
      <c r="O475" s="2"/>
    </row>
    <row r="476" spans="1:16" ht="61.5">
      <c r="A476" s="3" t="s">
        <v>1551</v>
      </c>
      <c r="B476" s="2" t="str">
        <f>TRIM(Table1[[#This Row],[Chat Name]])</f>
        <v>Poison Spray</v>
      </c>
      <c r="C476" s="2">
        <v>0</v>
      </c>
      <c r="D476" s="2">
        <v>0</v>
      </c>
      <c r="E476" s="2" t="s">
        <v>96</v>
      </c>
      <c r="F476" s="6" t="b">
        <v>0</v>
      </c>
      <c r="G476" s="6" t="b">
        <v>1</v>
      </c>
      <c r="H476" s="2" t="s">
        <v>34</v>
      </c>
      <c r="I476" s="2" t="b">
        <v>0</v>
      </c>
      <c r="J476" s="2" t="s">
        <v>19</v>
      </c>
      <c r="K476" s="2" t="s">
        <v>132</v>
      </c>
      <c r="L476" s="2" t="b">
        <v>0</v>
      </c>
      <c r="M476" s="2" t="s">
        <v>1552</v>
      </c>
      <c r="N476" s="2" t="s">
        <v>1553</v>
      </c>
      <c r="O476" s="2"/>
    </row>
    <row r="477" spans="1:16" ht="270.60000000000002">
      <c r="A477" s="3" t="s">
        <v>1554</v>
      </c>
      <c r="B477" s="2" t="str">
        <f>TRIM(Table1[[#This Row],[Chat Name]])</f>
        <v>Polymorph</v>
      </c>
      <c r="C477" s="2">
        <v>5</v>
      </c>
      <c r="D477" s="2">
        <v>21</v>
      </c>
      <c r="E477" s="2" t="s">
        <v>244</v>
      </c>
      <c r="F477" s="6" t="b">
        <v>1</v>
      </c>
      <c r="G477" s="6" t="b">
        <v>0</v>
      </c>
      <c r="H477" s="2" t="s">
        <v>34</v>
      </c>
      <c r="I477" s="2" t="b">
        <v>1</v>
      </c>
      <c r="J477" s="2" t="s">
        <v>245</v>
      </c>
      <c r="K477" s="2" t="s">
        <v>56</v>
      </c>
      <c r="L477" s="2" t="b">
        <v>0</v>
      </c>
      <c r="M477" s="2" t="s">
        <v>1555</v>
      </c>
      <c r="N477" s="2" t="s">
        <v>1556</v>
      </c>
      <c r="O477" s="2"/>
    </row>
    <row r="478" spans="1:16" ht="61.5">
      <c r="A478" s="3" t="s">
        <v>1557</v>
      </c>
      <c r="B478" s="2" t="str">
        <f>TRIM(Table1[[#This Row],[Chat Name]])</f>
        <v>Power Word Heal</v>
      </c>
      <c r="C478" s="2">
        <v>12</v>
      </c>
      <c r="D478" s="2">
        <v>90</v>
      </c>
      <c r="E478" s="2" t="s">
        <v>80</v>
      </c>
      <c r="F478" s="6" t="b">
        <v>1</v>
      </c>
      <c r="G478" s="6" t="b">
        <v>0</v>
      </c>
      <c r="H478" s="2" t="s">
        <v>34</v>
      </c>
      <c r="I478" s="2" t="b">
        <v>0</v>
      </c>
      <c r="J478" s="2" t="s">
        <v>19</v>
      </c>
      <c r="K478" s="2" t="s">
        <v>110</v>
      </c>
      <c r="L478" s="2" t="b">
        <v>0</v>
      </c>
      <c r="M478" s="2" t="s">
        <v>1558</v>
      </c>
      <c r="N478" s="2" t="s">
        <v>1559</v>
      </c>
      <c r="O478" s="2"/>
    </row>
    <row r="479" spans="1:16" ht="49.15">
      <c r="A479" s="3" t="s">
        <v>1560</v>
      </c>
      <c r="B479" s="2" t="str">
        <f>TRIM(Table1[[#This Row],[Chat Name]])</f>
        <v>Power Word Kill</v>
      </c>
      <c r="C479" s="2">
        <v>12</v>
      </c>
      <c r="D479" s="2">
        <v>90</v>
      </c>
      <c r="E479" s="2" t="s">
        <v>80</v>
      </c>
      <c r="F479" s="6" t="b">
        <v>1</v>
      </c>
      <c r="G479" s="6" t="b">
        <v>0</v>
      </c>
      <c r="H479" s="2" t="s">
        <v>34</v>
      </c>
      <c r="I479" s="2" t="b">
        <v>0</v>
      </c>
      <c r="J479" s="2" t="s">
        <v>19</v>
      </c>
      <c r="K479" s="2" t="s">
        <v>56</v>
      </c>
      <c r="L479" s="2" t="b">
        <v>0</v>
      </c>
      <c r="M479" s="2" t="s">
        <v>1561</v>
      </c>
      <c r="N479" s="2" t="s">
        <v>1562</v>
      </c>
      <c r="O479" s="2"/>
    </row>
    <row r="480" spans="1:16" ht="159.94999999999999">
      <c r="A480" s="3" t="s">
        <v>1563</v>
      </c>
      <c r="B480" s="2" t="str">
        <f>TRIM(Table1[[#This Row],[Chat Name]])</f>
        <v>Power Word Pain</v>
      </c>
      <c r="C480" s="2">
        <v>9</v>
      </c>
      <c r="D480" s="2">
        <v>54</v>
      </c>
      <c r="E480" s="2" t="s">
        <v>80</v>
      </c>
      <c r="F480" s="6" t="b">
        <v>1</v>
      </c>
      <c r="G480" s="6" t="b">
        <v>0</v>
      </c>
      <c r="H480" s="2" t="s">
        <v>34</v>
      </c>
      <c r="I480" s="2" t="b">
        <v>0</v>
      </c>
      <c r="J480" s="2" t="s">
        <v>19</v>
      </c>
      <c r="K480" s="2" t="s">
        <v>56</v>
      </c>
      <c r="L480" s="2" t="b">
        <v>0</v>
      </c>
      <c r="M480" s="2" t="s">
        <v>1564</v>
      </c>
      <c r="N480" s="2" t="s">
        <v>1565</v>
      </c>
      <c r="O480" s="2"/>
    </row>
    <row r="481" spans="1:16" ht="73.900000000000006">
      <c r="A481" s="3" t="s">
        <v>1566</v>
      </c>
      <c r="B481" s="2" t="str">
        <f>TRIM(Table1[[#This Row],[Chat Name]])</f>
        <v>Power Word Stun</v>
      </c>
      <c r="C481" s="2">
        <v>10</v>
      </c>
      <c r="D481" s="2">
        <v>66</v>
      </c>
      <c r="E481" s="2" t="s">
        <v>80</v>
      </c>
      <c r="F481" s="6" t="b">
        <v>1</v>
      </c>
      <c r="G481" s="6" t="b">
        <v>0</v>
      </c>
      <c r="H481" s="2" t="s">
        <v>34</v>
      </c>
      <c r="I481" s="2" t="b">
        <v>0</v>
      </c>
      <c r="J481" s="2" t="s">
        <v>19</v>
      </c>
      <c r="K481" s="2" t="s">
        <v>56</v>
      </c>
      <c r="L481" s="2" t="b">
        <v>0</v>
      </c>
      <c r="M481" s="2" t="s">
        <v>1567</v>
      </c>
      <c r="N481" s="2" t="s">
        <v>1568</v>
      </c>
      <c r="O481" s="2"/>
    </row>
    <row r="482" spans="1:16" ht="57.6">
      <c r="A482" s="3" t="s">
        <v>1569</v>
      </c>
      <c r="B482" s="2" t="str">
        <f>TRIM(Table1[[#This Row],[Chat Name]])</f>
        <v>Prayer of Healing</v>
      </c>
      <c r="C482" s="2">
        <v>2</v>
      </c>
      <c r="D482" s="2">
        <v>6</v>
      </c>
      <c r="E482" s="2" t="s">
        <v>80</v>
      </c>
      <c r="F482" s="6" t="b">
        <v>1</v>
      </c>
      <c r="G482" s="6" t="b">
        <v>0</v>
      </c>
      <c r="H482" s="2" t="s">
        <v>18</v>
      </c>
      <c r="I482" s="2" t="b">
        <v>0</v>
      </c>
      <c r="J482" s="2" t="s">
        <v>19</v>
      </c>
      <c r="K482" s="2" t="s">
        <v>52</v>
      </c>
      <c r="L482" s="2" t="b">
        <v>0</v>
      </c>
      <c r="M482" s="2" t="s">
        <v>1570</v>
      </c>
      <c r="N482" s="2" t="s">
        <v>1571</v>
      </c>
      <c r="O482" s="2" t="s">
        <v>1572</v>
      </c>
      <c r="P482" s="13" t="s">
        <v>1572</v>
      </c>
    </row>
    <row r="483" spans="1:16" ht="98.45">
      <c r="A483" s="3" t="s">
        <v>1573</v>
      </c>
      <c r="B483" s="2" t="str">
        <f>TRIM(Table1[[#This Row],[Chat Name]])</f>
        <v>Precipice Spire</v>
      </c>
      <c r="C483" s="2">
        <v>6</v>
      </c>
      <c r="D483" s="2">
        <v>27</v>
      </c>
      <c r="E483" s="2" t="s">
        <v>153</v>
      </c>
      <c r="F483" s="7" t="b">
        <v>1</v>
      </c>
      <c r="G483" s="7" t="b">
        <v>0</v>
      </c>
      <c r="H483" s="2" t="s">
        <v>34</v>
      </c>
      <c r="I483" s="2" t="b">
        <v>0</v>
      </c>
      <c r="J483" s="2" t="s">
        <v>19</v>
      </c>
      <c r="K483" s="2" t="s">
        <v>56</v>
      </c>
      <c r="L483" s="2" t="b">
        <v>0</v>
      </c>
      <c r="M483" s="2"/>
      <c r="N483" s="2" t="s">
        <v>1574</v>
      </c>
      <c r="O483" s="2" t="s">
        <v>1575</v>
      </c>
      <c r="P483" s="13" t="s">
        <v>1575</v>
      </c>
    </row>
    <row r="484" spans="1:16" ht="172.15">
      <c r="A484" s="3" t="s">
        <v>1576</v>
      </c>
      <c r="B484" s="2" t="str">
        <f>TRIM(Table1[[#This Row],[Chat Name]])</f>
        <v>Prestidigitation</v>
      </c>
      <c r="C484" s="2">
        <v>0</v>
      </c>
      <c r="D484" s="2">
        <v>0</v>
      </c>
      <c r="E484" s="2" t="s">
        <v>80</v>
      </c>
      <c r="F484" s="6" t="b">
        <v>1</v>
      </c>
      <c r="G484" s="6" t="b">
        <v>0</v>
      </c>
      <c r="H484" s="2" t="s">
        <v>34</v>
      </c>
      <c r="I484" s="2" t="b">
        <v>0</v>
      </c>
      <c r="J484" s="2" t="s">
        <v>245</v>
      </c>
      <c r="K484" s="2" t="s">
        <v>132</v>
      </c>
      <c r="L484" s="2" t="b">
        <v>0</v>
      </c>
      <c r="M484" s="2" t="s">
        <v>1577</v>
      </c>
      <c r="N484" s="2" t="s">
        <v>1578</v>
      </c>
      <c r="O484" s="2"/>
    </row>
    <row r="485" spans="1:16" ht="86.1">
      <c r="A485" s="3" t="s">
        <v>1579</v>
      </c>
      <c r="B485" s="2" t="str">
        <f>TRIM(Table1[[#This Row],[Chat Name]])</f>
        <v>Primal Savagery</v>
      </c>
      <c r="C485" s="2">
        <v>0</v>
      </c>
      <c r="D485" s="2">
        <v>0</v>
      </c>
      <c r="E485" s="2" t="s">
        <v>244</v>
      </c>
      <c r="F485" s="6" t="b">
        <v>1</v>
      </c>
      <c r="G485" s="6" t="b">
        <v>0</v>
      </c>
      <c r="H485" s="2" t="s">
        <v>34</v>
      </c>
      <c r="I485" s="2" t="b">
        <v>0</v>
      </c>
      <c r="J485" s="2" t="s">
        <v>19</v>
      </c>
      <c r="K485" s="2" t="s">
        <v>59</v>
      </c>
      <c r="L485" s="2" t="b">
        <v>0</v>
      </c>
      <c r="M485" s="2" t="s">
        <v>1580</v>
      </c>
      <c r="N485" s="2" t="s">
        <v>1581</v>
      </c>
      <c r="O485" s="2" t="s">
        <v>1582</v>
      </c>
      <c r="P485" s="13" t="s">
        <v>1582</v>
      </c>
    </row>
    <row r="486" spans="1:16" ht="36.950000000000003">
      <c r="A486" s="3" t="s">
        <v>365</v>
      </c>
      <c r="B486" s="2" t="str">
        <f>TRIM(Table1[[#This Row],[Chat Name]])</f>
        <v>Divine Favor</v>
      </c>
      <c r="C486" s="2">
        <v>1</v>
      </c>
      <c r="D486" s="2">
        <v>3</v>
      </c>
      <c r="E486" s="2" t="s">
        <v>80</v>
      </c>
      <c r="F486" s="6" t="b">
        <v>1</v>
      </c>
      <c r="G486" s="6" t="b">
        <v>0</v>
      </c>
      <c r="H486" s="2" t="s">
        <v>31</v>
      </c>
      <c r="I486" s="2" t="b">
        <v>1</v>
      </c>
      <c r="J486" s="2" t="s">
        <v>272</v>
      </c>
      <c r="K486" s="2" t="s">
        <v>59</v>
      </c>
      <c r="L486" s="2" t="b">
        <v>0</v>
      </c>
      <c r="M486" s="2" t="s">
        <v>366</v>
      </c>
      <c r="N486" s="2" t="s">
        <v>367</v>
      </c>
      <c r="O486" s="2"/>
    </row>
    <row r="487" spans="1:16" ht="73.900000000000006">
      <c r="A487" s="3" t="s">
        <v>1583</v>
      </c>
      <c r="B487" s="2" t="str">
        <f>TRIM(Table1[[#This Row],[Chat Name]])</f>
        <v>Primordial Ward</v>
      </c>
      <c r="C487" s="2">
        <v>8</v>
      </c>
      <c r="D487" s="2">
        <v>45</v>
      </c>
      <c r="E487" s="2" t="s">
        <v>153</v>
      </c>
      <c r="F487" s="6" t="b">
        <v>1</v>
      </c>
      <c r="G487" s="6" t="b">
        <v>0</v>
      </c>
      <c r="H487" s="2" t="s">
        <v>34</v>
      </c>
      <c r="I487" s="2" t="b">
        <v>1</v>
      </c>
      <c r="J487" s="2" t="s">
        <v>272</v>
      </c>
      <c r="K487" s="2" t="s">
        <v>59</v>
      </c>
      <c r="L487" s="2" t="b">
        <v>0</v>
      </c>
      <c r="M487" s="2" t="s">
        <v>1584</v>
      </c>
      <c r="N487" s="2" t="s">
        <v>1585</v>
      </c>
      <c r="O487" s="2"/>
    </row>
    <row r="488" spans="1:16" ht="344.45">
      <c r="A488" s="3" t="s">
        <v>1586</v>
      </c>
      <c r="B488" s="2" t="str">
        <f>TRIM(Table1[[#This Row],[Chat Name]])</f>
        <v>Prismatic Spray</v>
      </c>
      <c r="C488" s="2">
        <v>9</v>
      </c>
      <c r="D488" s="2">
        <v>54</v>
      </c>
      <c r="E488" s="2" t="s">
        <v>96</v>
      </c>
      <c r="F488" s="6" t="b">
        <v>0</v>
      </c>
      <c r="G488" s="6" t="b">
        <v>1</v>
      </c>
      <c r="H488" s="2" t="s">
        <v>34</v>
      </c>
      <c r="I488" s="2" t="b">
        <v>0</v>
      </c>
      <c r="J488" s="2" t="s">
        <v>19</v>
      </c>
      <c r="K488" s="2" t="s">
        <v>529</v>
      </c>
      <c r="L488" s="2" t="b">
        <v>0</v>
      </c>
      <c r="M488" s="2" t="s">
        <v>1587</v>
      </c>
      <c r="N488" s="2" t="s">
        <v>1588</v>
      </c>
      <c r="O488" s="2"/>
    </row>
    <row r="489" spans="1:16" ht="409.5">
      <c r="A489" s="3" t="s">
        <v>1589</v>
      </c>
      <c r="B489" s="2" t="str">
        <f>TRIM(Table1[[#This Row],[Chat Name]])</f>
        <v>Prismatic Wall</v>
      </c>
      <c r="C489" s="2">
        <v>12</v>
      </c>
      <c r="D489" s="2">
        <v>90</v>
      </c>
      <c r="E489" s="2" t="s">
        <v>96</v>
      </c>
      <c r="F489" s="6" t="b">
        <v>0</v>
      </c>
      <c r="G489" s="6" t="b">
        <v>1</v>
      </c>
      <c r="H489" s="2" t="s">
        <v>34</v>
      </c>
      <c r="I489" s="2" t="b">
        <v>0</v>
      </c>
      <c r="J489" s="2" t="s">
        <v>18</v>
      </c>
      <c r="K489" s="2" t="s">
        <v>56</v>
      </c>
      <c r="L489" s="2" t="b">
        <v>0</v>
      </c>
      <c r="M489" s="2" t="s">
        <v>1590</v>
      </c>
      <c r="N489" s="2" t="s">
        <v>1591</v>
      </c>
      <c r="O489" s="2"/>
    </row>
    <row r="490" spans="1:16" ht="135.4">
      <c r="A490" s="3" t="s">
        <v>1592</v>
      </c>
      <c r="B490" s="2" t="str">
        <f>TRIM(Table1[[#This Row],[Chat Name]])</f>
        <v>Produce Flame</v>
      </c>
      <c r="C490" s="2">
        <v>0</v>
      </c>
      <c r="D490" s="2">
        <v>0</v>
      </c>
      <c r="E490" s="2" t="s">
        <v>153</v>
      </c>
      <c r="F490" s="6" t="b">
        <v>1</v>
      </c>
      <c r="G490" s="6" t="b">
        <v>0</v>
      </c>
      <c r="H490" s="2" t="s">
        <v>34</v>
      </c>
      <c r="I490" s="2" t="b">
        <v>0</v>
      </c>
      <c r="J490" s="2" t="s">
        <v>18</v>
      </c>
      <c r="K490" s="2" t="s">
        <v>59</v>
      </c>
      <c r="L490" s="2" t="b">
        <v>0</v>
      </c>
      <c r="M490" s="2" t="s">
        <v>1593</v>
      </c>
      <c r="N490" s="2" t="s">
        <v>1594</v>
      </c>
      <c r="O490" s="2"/>
    </row>
    <row r="491" spans="1:16" ht="282.95">
      <c r="A491" s="3" t="s">
        <v>1595</v>
      </c>
      <c r="B491" s="2" t="str">
        <f>TRIM(Table1[[#This Row],[Chat Name]])</f>
        <v>Programmed Illusion</v>
      </c>
      <c r="C491" s="2">
        <v>8</v>
      </c>
      <c r="D491" s="2">
        <v>45</v>
      </c>
      <c r="E491" s="2" t="s">
        <v>96</v>
      </c>
      <c r="F491" s="6" t="b">
        <v>0</v>
      </c>
      <c r="G491" s="6" t="b">
        <v>1</v>
      </c>
      <c r="H491" s="2" t="s">
        <v>34</v>
      </c>
      <c r="I491" s="2" t="b">
        <v>0</v>
      </c>
      <c r="J491" s="2" t="s">
        <v>307</v>
      </c>
      <c r="K491" s="2" t="s">
        <v>160</v>
      </c>
      <c r="L491" s="2" t="b">
        <v>0</v>
      </c>
      <c r="M491" s="2" t="s">
        <v>1596</v>
      </c>
      <c r="N491" s="2" t="s">
        <v>1597</v>
      </c>
      <c r="O491" s="2"/>
    </row>
    <row r="492" spans="1:16" ht="246">
      <c r="A492" s="3" t="s">
        <v>1598</v>
      </c>
      <c r="B492" s="2" t="str">
        <f>TRIM(Table1[[#This Row],[Chat Name]])</f>
        <v>Project Image</v>
      </c>
      <c r="C492" s="2">
        <v>9</v>
      </c>
      <c r="D492" s="2">
        <v>54</v>
      </c>
      <c r="E492" s="2" t="s">
        <v>96</v>
      </c>
      <c r="F492" s="6" t="b">
        <v>0</v>
      </c>
      <c r="G492" s="6" t="b">
        <v>1</v>
      </c>
      <c r="H492" s="2" t="s">
        <v>34</v>
      </c>
      <c r="I492" s="2" t="b">
        <v>1</v>
      </c>
      <c r="J492" s="2" t="s">
        <v>1191</v>
      </c>
      <c r="K492" s="2" t="s">
        <v>1599</v>
      </c>
      <c r="L492" s="2" t="b">
        <v>0</v>
      </c>
      <c r="M492" s="2" t="s">
        <v>1600</v>
      </c>
      <c r="N492" s="2" t="s">
        <v>1601</v>
      </c>
      <c r="O492" s="2"/>
    </row>
    <row r="493" spans="1:16" ht="36.950000000000003">
      <c r="A493" s="3" t="s">
        <v>1602</v>
      </c>
      <c r="B493" s="2" t="str">
        <f>TRIM(Table1[[#This Row],[Chat Name]])</f>
        <v>Protection from Energy</v>
      </c>
      <c r="C493" s="2">
        <v>3</v>
      </c>
      <c r="D493" s="2">
        <v>9</v>
      </c>
      <c r="E493" s="2" t="s">
        <v>153</v>
      </c>
      <c r="F493" s="6" t="b">
        <v>1</v>
      </c>
      <c r="G493" s="6" t="b">
        <v>0</v>
      </c>
      <c r="H493" s="2" t="s">
        <v>34</v>
      </c>
      <c r="I493" s="2" t="b">
        <v>1</v>
      </c>
      <c r="J493" s="2" t="s">
        <v>245</v>
      </c>
      <c r="K493" s="2" t="s">
        <v>110</v>
      </c>
      <c r="L493" s="2" t="b">
        <v>0</v>
      </c>
      <c r="M493" s="2" t="s">
        <v>1603</v>
      </c>
      <c r="N493" s="2" t="s">
        <v>1603</v>
      </c>
      <c r="O493" s="2"/>
    </row>
    <row r="494" spans="1:16" ht="110.65">
      <c r="A494" s="3" t="s">
        <v>1604</v>
      </c>
      <c r="B494" s="2" t="str">
        <f>TRIM(Table1[[#This Row],[Chat Name]])</f>
        <v>Protection from Evil and Good</v>
      </c>
      <c r="C494" s="2">
        <v>1</v>
      </c>
      <c r="D494" s="2">
        <v>3</v>
      </c>
      <c r="E494" s="2" t="s">
        <v>80</v>
      </c>
      <c r="F494" s="6" t="b">
        <v>1</v>
      </c>
      <c r="G494" s="6" t="b">
        <v>0</v>
      </c>
      <c r="H494" s="2" t="s">
        <v>34</v>
      </c>
      <c r="I494" s="2" t="b">
        <v>1</v>
      </c>
      <c r="J494" s="2" t="s">
        <v>301</v>
      </c>
      <c r="K494" s="2" t="s">
        <v>110</v>
      </c>
      <c r="L494" s="2" t="b">
        <v>0</v>
      </c>
      <c r="M494" s="2" t="s">
        <v>1605</v>
      </c>
      <c r="N494" s="2" t="s">
        <v>1606</v>
      </c>
      <c r="O494" s="2"/>
    </row>
    <row r="495" spans="1:16" ht="73.900000000000006">
      <c r="A495" s="3" t="s">
        <v>1607</v>
      </c>
      <c r="B495" s="2" t="str">
        <f>TRIM(Table1[[#This Row],[Chat Name]])</f>
        <v>Protection from Poison</v>
      </c>
      <c r="C495" s="2">
        <v>2</v>
      </c>
      <c r="D495" s="2">
        <v>6</v>
      </c>
      <c r="E495" s="2" t="s">
        <v>244</v>
      </c>
      <c r="F495" s="6" t="b">
        <v>1</v>
      </c>
      <c r="G495" s="6" t="b">
        <v>0</v>
      </c>
      <c r="H495" s="2" t="s">
        <v>34</v>
      </c>
      <c r="I495" s="2" t="b">
        <v>0</v>
      </c>
      <c r="J495" s="2" t="s">
        <v>35</v>
      </c>
      <c r="K495" s="2" t="s">
        <v>110</v>
      </c>
      <c r="L495" s="2" t="b">
        <v>0</v>
      </c>
      <c r="M495" s="2" t="s">
        <v>1608</v>
      </c>
      <c r="N495" s="2" t="s">
        <v>1608</v>
      </c>
      <c r="O495" s="2"/>
    </row>
    <row r="496" spans="1:16" ht="123">
      <c r="A496" s="3" t="s">
        <v>1609</v>
      </c>
      <c r="B496" s="2" t="str">
        <f>TRIM(Table1[[#This Row],[Chat Name]])</f>
        <v>Raulothim's Psychic Lance</v>
      </c>
      <c r="C496" s="2">
        <v>5</v>
      </c>
      <c r="D496" s="2">
        <v>21</v>
      </c>
      <c r="E496" s="2" t="s">
        <v>73</v>
      </c>
      <c r="F496" s="6" t="b">
        <v>0</v>
      </c>
      <c r="G496" s="6" t="b">
        <v>1</v>
      </c>
      <c r="H496" s="2" t="s">
        <v>34</v>
      </c>
      <c r="I496" s="2" t="b">
        <v>0</v>
      </c>
      <c r="J496" s="2" t="s">
        <v>19</v>
      </c>
      <c r="K496" s="2" t="s">
        <v>160</v>
      </c>
      <c r="L496" s="2" t="b">
        <v>0</v>
      </c>
      <c r="M496" s="2" t="s">
        <v>1610</v>
      </c>
      <c r="N496" s="2" t="s">
        <v>1611</v>
      </c>
      <c r="O496" s="2" t="s">
        <v>1612</v>
      </c>
      <c r="P496" s="13" t="s">
        <v>1612</v>
      </c>
    </row>
    <row r="497" spans="1:16" ht="123">
      <c r="A497" s="3" t="s">
        <v>1613</v>
      </c>
      <c r="B497" s="2" t="str">
        <f>TRIM(Table1[[#This Row],[Chat Name]])</f>
        <v>Psychic Scream</v>
      </c>
      <c r="C497" s="2">
        <v>12</v>
      </c>
      <c r="D497" s="2">
        <v>90</v>
      </c>
      <c r="E497" s="2" t="s">
        <v>73</v>
      </c>
      <c r="F497" s="6" t="b">
        <v>0</v>
      </c>
      <c r="G497" s="6" t="b">
        <v>1</v>
      </c>
      <c r="H497" s="2" t="s">
        <v>34</v>
      </c>
      <c r="I497" s="2" t="b">
        <v>0</v>
      </c>
      <c r="J497" s="2" t="s">
        <v>19</v>
      </c>
      <c r="K497" s="2" t="s">
        <v>64</v>
      </c>
      <c r="L497" s="2" t="b">
        <v>0</v>
      </c>
      <c r="M497" s="2" t="s">
        <v>1614</v>
      </c>
      <c r="N497" s="2" t="s">
        <v>1615</v>
      </c>
      <c r="O497" s="2"/>
    </row>
    <row r="498" spans="1:16" ht="209.1">
      <c r="A498" s="3" t="s">
        <v>1616</v>
      </c>
      <c r="B498" s="2" t="str">
        <f>TRIM(Table1[[#This Row],[Chat Name]])</f>
        <v>Blink</v>
      </c>
      <c r="C498" s="2">
        <v>4</v>
      </c>
      <c r="D498" s="2">
        <v>15</v>
      </c>
      <c r="E498" s="2" t="s">
        <v>23</v>
      </c>
      <c r="F498" s="6" t="b">
        <v>1</v>
      </c>
      <c r="G498" s="6" t="b">
        <v>0</v>
      </c>
      <c r="H498" s="2" t="s">
        <v>34</v>
      </c>
      <c r="I498" s="2" t="b">
        <v>0</v>
      </c>
      <c r="J498" s="2" t="s">
        <v>39</v>
      </c>
      <c r="K498" s="2" t="s">
        <v>59</v>
      </c>
      <c r="L498" s="2" t="b">
        <v>0</v>
      </c>
      <c r="M498" s="2" t="s">
        <v>1617</v>
      </c>
      <c r="N498" s="2" t="s">
        <v>1618</v>
      </c>
      <c r="O498" s="2"/>
    </row>
    <row r="499" spans="1:16" ht="123">
      <c r="A499" s="3" t="s">
        <v>1619</v>
      </c>
      <c r="B499" s="2" t="str">
        <f>TRIM(Table1[[#This Row],[Chat Name]])</f>
        <v>Pulse Wave</v>
      </c>
      <c r="C499" s="2">
        <v>4</v>
      </c>
      <c r="D499" s="2">
        <v>15</v>
      </c>
      <c r="E499" s="2" t="s">
        <v>96</v>
      </c>
      <c r="F499" s="6" t="b">
        <v>0</v>
      </c>
      <c r="G499" s="6" t="b">
        <v>1</v>
      </c>
      <c r="H499" s="2" t="s">
        <v>34</v>
      </c>
      <c r="I499" s="2" t="b">
        <v>0</v>
      </c>
      <c r="J499" s="2" t="s">
        <v>19</v>
      </c>
      <c r="K499" s="2" t="s">
        <v>48</v>
      </c>
      <c r="L499" s="2" t="b">
        <v>0</v>
      </c>
      <c r="M499" s="2" t="s">
        <v>1620</v>
      </c>
      <c r="N499" s="2" t="s">
        <v>1621</v>
      </c>
      <c r="O499" s="2" t="s">
        <v>1622</v>
      </c>
      <c r="P499" s="13" t="s">
        <v>1622</v>
      </c>
    </row>
    <row r="500" spans="1:16" ht="36.950000000000003">
      <c r="A500" s="3" t="s">
        <v>1623</v>
      </c>
      <c r="B500" s="2" t="str">
        <f>TRIM(Table1[[#This Row],[Chat Name]])</f>
        <v>Purify Food and Drink</v>
      </c>
      <c r="C500" s="2">
        <v>1</v>
      </c>
      <c r="D500" s="2">
        <v>3</v>
      </c>
      <c r="E500" s="2" t="s">
        <v>244</v>
      </c>
      <c r="F500" s="6" t="b">
        <v>1</v>
      </c>
      <c r="G500" s="6" t="b">
        <v>0</v>
      </c>
      <c r="H500" s="2" t="s">
        <v>34</v>
      </c>
      <c r="I500" s="2" t="b">
        <v>0</v>
      </c>
      <c r="J500" s="2" t="s">
        <v>19</v>
      </c>
      <c r="K500" s="2" t="s">
        <v>132</v>
      </c>
      <c r="L500" s="2" t="b">
        <v>1</v>
      </c>
      <c r="M500" s="2" t="s">
        <v>1624</v>
      </c>
      <c r="N500" s="2" t="s">
        <v>1624</v>
      </c>
      <c r="O500" s="2"/>
    </row>
    <row r="501" spans="1:16" ht="123">
      <c r="A501" s="3" t="s">
        <v>1625</v>
      </c>
      <c r="B501" s="2" t="str">
        <f>TRIM(Table1[[#This Row],[Chat Name]])</f>
        <v>Pyrotechnics</v>
      </c>
      <c r="C501" s="2">
        <v>2</v>
      </c>
      <c r="D501" s="2">
        <v>6</v>
      </c>
      <c r="E501" s="2" t="s">
        <v>153</v>
      </c>
      <c r="F501" s="6" t="b">
        <v>1</v>
      </c>
      <c r="G501" s="6" t="b">
        <v>0</v>
      </c>
      <c r="H501" s="2" t="s">
        <v>34</v>
      </c>
      <c r="I501" s="2" t="b">
        <v>0</v>
      </c>
      <c r="J501" s="2" t="s">
        <v>19</v>
      </c>
      <c r="K501" s="2" t="s">
        <v>56</v>
      </c>
      <c r="L501" s="2" t="b">
        <v>0</v>
      </c>
      <c r="M501" s="2" t="s">
        <v>1626</v>
      </c>
      <c r="N501" s="2" t="s">
        <v>1626</v>
      </c>
      <c r="O501" s="2"/>
    </row>
    <row r="502" spans="1:16" ht="86.1">
      <c r="A502" s="3"/>
      <c r="B502" s="2" t="str">
        <f>TRIM(Table1[[#This Row],[Chat Name]])</f>
        <v/>
      </c>
      <c r="C502" s="2">
        <v>1</v>
      </c>
      <c r="D502" s="2">
        <v>3</v>
      </c>
      <c r="E502" s="2" t="s">
        <v>244</v>
      </c>
      <c r="F502" s="6" t="b">
        <v>1</v>
      </c>
      <c r="G502" s="6" t="b">
        <v>0</v>
      </c>
      <c r="H502" s="2" t="s">
        <v>31</v>
      </c>
      <c r="I502" s="2" t="b">
        <v>1</v>
      </c>
      <c r="J502" s="2" t="s">
        <v>35</v>
      </c>
      <c r="K502" s="2" t="s">
        <v>64</v>
      </c>
      <c r="L502" s="2" t="b">
        <v>0</v>
      </c>
      <c r="M502" s="2"/>
      <c r="N502" s="2" t="s">
        <v>1627</v>
      </c>
      <c r="O502" s="2" t="s">
        <v>1628</v>
      </c>
      <c r="P502" s="13" t="s">
        <v>1628</v>
      </c>
    </row>
    <row r="503" spans="1:16" ht="73.900000000000006">
      <c r="A503" s="3" t="s">
        <v>1629</v>
      </c>
      <c r="B503" s="2" t="str">
        <f>TRIM(Table1[[#This Row],[Chat Name]])</f>
        <v>Sacred Flame</v>
      </c>
      <c r="C503" s="2">
        <v>0</v>
      </c>
      <c r="D503" s="2">
        <v>0</v>
      </c>
      <c r="E503" s="2" t="s">
        <v>23</v>
      </c>
      <c r="F503" s="6" t="b">
        <v>1</v>
      </c>
      <c r="G503" s="6" t="b">
        <v>0</v>
      </c>
      <c r="H503" s="2" t="s">
        <v>34</v>
      </c>
      <c r="I503" s="2" t="b">
        <v>0</v>
      </c>
      <c r="J503" s="2" t="s">
        <v>19</v>
      </c>
      <c r="K503" s="2" t="s">
        <v>56</v>
      </c>
      <c r="L503" s="2" t="b">
        <v>0</v>
      </c>
      <c r="M503" s="2" t="s">
        <v>1630</v>
      </c>
      <c r="N503" s="2" t="s">
        <v>1631</v>
      </c>
      <c r="O503" s="2" t="s">
        <v>1632</v>
      </c>
      <c r="P503" s="13" t="s">
        <v>1633</v>
      </c>
    </row>
    <row r="504" spans="1:16" ht="61.5">
      <c r="A504" s="3"/>
      <c r="B504" s="2" t="str">
        <f>TRIM(Table1[[#This Row],[Chat Name]])</f>
        <v/>
      </c>
      <c r="C504" s="2">
        <v>2</v>
      </c>
      <c r="D504" s="2">
        <v>6</v>
      </c>
      <c r="E504" s="2" t="s">
        <v>23</v>
      </c>
      <c r="F504" s="6" t="b">
        <v>1</v>
      </c>
      <c r="G504" s="6" t="b">
        <v>0</v>
      </c>
      <c r="H504" s="2" t="s">
        <v>31</v>
      </c>
      <c r="I504" s="2" t="b">
        <v>0</v>
      </c>
      <c r="J504" s="2" t="s">
        <v>19</v>
      </c>
      <c r="K504" s="2" t="s">
        <v>140</v>
      </c>
      <c r="L504" s="2" t="b">
        <v>0</v>
      </c>
      <c r="M504" s="2"/>
      <c r="N504" s="2" t="s">
        <v>1634</v>
      </c>
      <c r="O504" s="2"/>
    </row>
    <row r="505" spans="1:16" ht="196.9">
      <c r="A505" s="3" t="s">
        <v>1635</v>
      </c>
      <c r="B505" s="2" t="str">
        <f>TRIM(Table1[[#This Row],[Chat Name]])</f>
        <v>Raise Dead</v>
      </c>
      <c r="C505" s="2">
        <v>7</v>
      </c>
      <c r="D505" s="2">
        <v>36</v>
      </c>
      <c r="E505" s="2" t="s">
        <v>80</v>
      </c>
      <c r="F505" s="6" t="b">
        <v>1</v>
      </c>
      <c r="G505" s="6" t="b">
        <v>0</v>
      </c>
      <c r="H505" s="2" t="s">
        <v>35</v>
      </c>
      <c r="I505" s="2" t="b">
        <v>0</v>
      </c>
      <c r="J505" s="2" t="s">
        <v>19</v>
      </c>
      <c r="K505" s="2" t="s">
        <v>110</v>
      </c>
      <c r="L505" s="2" t="b">
        <v>0</v>
      </c>
      <c r="M505" s="2" t="s">
        <v>1636</v>
      </c>
      <c r="N505" s="2" t="s">
        <v>1637</v>
      </c>
      <c r="O505" s="2"/>
    </row>
    <row r="506" spans="1:16" ht="57.6">
      <c r="A506" s="3" t="s">
        <v>1638</v>
      </c>
      <c r="B506" s="2" t="str">
        <f>TRIM(Table1[[#This Row],[Chat Name]])</f>
        <v>Cloud of Daggers</v>
      </c>
      <c r="C506" s="2">
        <v>2</v>
      </c>
      <c r="D506" s="2">
        <v>6</v>
      </c>
      <c r="E506" s="2" t="s">
        <v>96</v>
      </c>
      <c r="F506" s="6" t="b">
        <v>0</v>
      </c>
      <c r="G506" s="6" t="b">
        <v>1</v>
      </c>
      <c r="H506" s="2" t="s">
        <v>34</v>
      </c>
      <c r="I506" s="2" t="b">
        <v>1</v>
      </c>
      <c r="J506" s="2" t="s">
        <v>272</v>
      </c>
      <c r="K506" s="2" t="s">
        <v>56</v>
      </c>
      <c r="L506" s="2" t="b">
        <v>0</v>
      </c>
      <c r="M506" s="2" t="s">
        <v>1639</v>
      </c>
      <c r="N506" s="2" t="s">
        <v>1640</v>
      </c>
      <c r="O506" s="2" t="s">
        <v>1641</v>
      </c>
      <c r="P506" s="13" t="s">
        <v>1641</v>
      </c>
    </row>
    <row r="507" spans="1:16" ht="258.39999999999998">
      <c r="A507" s="3" t="s">
        <v>1642</v>
      </c>
      <c r="B507" s="2" t="str">
        <f>TRIM(Table1[[#This Row],[Chat Name]])</f>
        <v>Ravenous Void</v>
      </c>
      <c r="C507" s="2">
        <v>12</v>
      </c>
      <c r="D507" s="2">
        <v>90</v>
      </c>
      <c r="E507" s="2" t="s">
        <v>17</v>
      </c>
      <c r="F507" s="6" t="b">
        <v>0</v>
      </c>
      <c r="G507" s="6" t="b">
        <v>1</v>
      </c>
      <c r="H507" s="2" t="s">
        <v>34</v>
      </c>
      <c r="I507" s="2" t="b">
        <v>1</v>
      </c>
      <c r="J507" s="2" t="s">
        <v>272</v>
      </c>
      <c r="K507" s="2" t="s">
        <v>1643</v>
      </c>
      <c r="L507" s="2" t="b">
        <v>0</v>
      </c>
      <c r="M507" s="2" t="s">
        <v>1644</v>
      </c>
      <c r="N507" s="2" t="s">
        <v>1645</v>
      </c>
      <c r="O507" s="2"/>
    </row>
    <row r="508" spans="1:16" ht="73.900000000000006">
      <c r="A508" s="3" t="s">
        <v>1646</v>
      </c>
      <c r="B508" s="2" t="str">
        <f>TRIM(Table1[[#This Row],[Chat Name]])</f>
        <v>Ray of Enfeeblement</v>
      </c>
      <c r="C508" s="2">
        <v>2</v>
      </c>
      <c r="D508" s="2">
        <v>6</v>
      </c>
      <c r="E508" s="2" t="s">
        <v>96</v>
      </c>
      <c r="F508" s="6" t="b">
        <v>0</v>
      </c>
      <c r="G508" s="6" t="b">
        <v>1</v>
      </c>
      <c r="H508" s="2" t="s">
        <v>34</v>
      </c>
      <c r="I508" s="2" t="b">
        <v>1</v>
      </c>
      <c r="J508" s="2" t="s">
        <v>272</v>
      </c>
      <c r="K508" s="2" t="s">
        <v>56</v>
      </c>
      <c r="L508" s="2" t="b">
        <v>0</v>
      </c>
      <c r="M508" s="2" t="s">
        <v>1647</v>
      </c>
      <c r="N508" s="2" t="s">
        <v>1648</v>
      </c>
      <c r="O508" s="2"/>
    </row>
    <row r="509" spans="1:16" ht="73.900000000000006">
      <c r="A509" s="3" t="s">
        <v>1649</v>
      </c>
      <c r="B509" s="2" t="str">
        <f>TRIM(Table1[[#This Row],[Chat Name]])</f>
        <v>Ray of Frost</v>
      </c>
      <c r="C509" s="2">
        <v>0</v>
      </c>
      <c r="D509" s="2">
        <v>0</v>
      </c>
      <c r="E509" s="2" t="s">
        <v>153</v>
      </c>
      <c r="F509" s="6" t="b">
        <v>1</v>
      </c>
      <c r="G509" s="6" t="b">
        <v>0</v>
      </c>
      <c r="H509" s="2" t="s">
        <v>34</v>
      </c>
      <c r="I509" s="2" t="b">
        <v>0</v>
      </c>
      <c r="J509" s="2" t="s">
        <v>19</v>
      </c>
      <c r="K509" s="2" t="s">
        <v>56</v>
      </c>
      <c r="L509" s="2" t="b">
        <v>0</v>
      </c>
      <c r="M509" s="2" t="s">
        <v>1650</v>
      </c>
      <c r="N509" s="2" t="s">
        <v>1651</v>
      </c>
      <c r="O509" s="2"/>
    </row>
    <row r="510" spans="1:16" ht="61.5">
      <c r="A510" s="3" t="s">
        <v>1652</v>
      </c>
      <c r="B510" s="2" t="str">
        <f>TRIM(Table1[[#This Row],[Chat Name]])</f>
        <v>Ray of Sickness</v>
      </c>
      <c r="C510" s="2">
        <v>1</v>
      </c>
      <c r="D510" s="2">
        <v>3</v>
      </c>
      <c r="E510" s="2" t="s">
        <v>96</v>
      </c>
      <c r="F510" s="6" t="b">
        <v>0</v>
      </c>
      <c r="G510" s="6" t="b">
        <v>1</v>
      </c>
      <c r="H510" s="2" t="s">
        <v>34</v>
      </c>
      <c r="I510" s="2" t="b">
        <v>0</v>
      </c>
      <c r="J510" s="2" t="s">
        <v>19</v>
      </c>
      <c r="K510" s="2" t="s">
        <v>56</v>
      </c>
      <c r="L510" s="2" t="b">
        <v>0</v>
      </c>
      <c r="M510" s="2" t="s">
        <v>1653</v>
      </c>
      <c r="N510" s="2" t="s">
        <v>1654</v>
      </c>
      <c r="O510" s="2" t="s">
        <v>1006</v>
      </c>
      <c r="P510" s="13" t="s">
        <v>1006</v>
      </c>
    </row>
    <row r="511" spans="1:16" ht="110.65">
      <c r="A511" s="3" t="s">
        <v>1655</v>
      </c>
      <c r="B511" s="2" t="str">
        <f>TRIM(Table1[[#This Row],[Chat Name]])</f>
        <v>Reality Break</v>
      </c>
      <c r="C511" s="2">
        <v>10</v>
      </c>
      <c r="D511" s="2">
        <v>66</v>
      </c>
      <c r="E511" s="2" t="s">
        <v>96</v>
      </c>
      <c r="F511" s="6" t="b">
        <v>0</v>
      </c>
      <c r="G511" s="6" t="b">
        <v>1</v>
      </c>
      <c r="H511" s="2" t="s">
        <v>34</v>
      </c>
      <c r="I511" s="2" t="b">
        <v>1</v>
      </c>
      <c r="J511" s="2" t="s">
        <v>272</v>
      </c>
      <c r="K511" s="2" t="s">
        <v>56</v>
      </c>
      <c r="L511" s="2" t="b">
        <v>0</v>
      </c>
      <c r="M511" s="2" t="s">
        <v>1656</v>
      </c>
      <c r="N511" s="2" t="s">
        <v>1657</v>
      </c>
      <c r="O511" s="2"/>
    </row>
    <row r="512" spans="1:16" ht="98.45">
      <c r="A512" s="3" t="s">
        <v>1658</v>
      </c>
      <c r="B512" s="2" t="str">
        <f>TRIM(Table1[[#This Row],[Chat Name]])</f>
        <v>Regenerate</v>
      </c>
      <c r="C512" s="2">
        <v>9</v>
      </c>
      <c r="D512" s="2">
        <v>54</v>
      </c>
      <c r="E512" s="2" t="s">
        <v>80</v>
      </c>
      <c r="F512" s="6" t="b">
        <v>1</v>
      </c>
      <c r="G512" s="6" t="b">
        <v>0</v>
      </c>
      <c r="H512" s="2" t="s">
        <v>39</v>
      </c>
      <c r="I512" s="2" t="b">
        <v>0</v>
      </c>
      <c r="J512" s="2" t="s">
        <v>35</v>
      </c>
      <c r="K512" s="2" t="s">
        <v>110</v>
      </c>
      <c r="L512" s="2" t="b">
        <v>0</v>
      </c>
      <c r="M512" s="2" t="s">
        <v>1659</v>
      </c>
      <c r="N512" s="2" t="s">
        <v>1660</v>
      </c>
      <c r="O512" s="2"/>
    </row>
    <row r="513" spans="1:16" ht="73.900000000000006">
      <c r="A513" s="3" t="s">
        <v>1661</v>
      </c>
      <c r="B513" s="2" t="str">
        <f>TRIM(Table1[[#This Row],[Chat Name]])</f>
        <v>Revivify</v>
      </c>
      <c r="C513" s="2">
        <v>5</v>
      </c>
      <c r="D513" s="2">
        <v>21</v>
      </c>
      <c r="E513" s="2" t="s">
        <v>80</v>
      </c>
      <c r="F513" s="6" t="b">
        <v>1</v>
      </c>
      <c r="G513" s="6" t="b">
        <v>0</v>
      </c>
      <c r="H513" s="2" t="s">
        <v>34</v>
      </c>
      <c r="I513" s="2" t="b">
        <v>0</v>
      </c>
      <c r="J513" s="2" t="s">
        <v>19</v>
      </c>
      <c r="K513" s="2" t="s">
        <v>110</v>
      </c>
      <c r="L513" s="2" t="b">
        <v>0</v>
      </c>
      <c r="M513" s="2" t="s">
        <v>1662</v>
      </c>
      <c r="N513" s="2" t="s">
        <v>1663</v>
      </c>
      <c r="O513" s="2" t="s">
        <v>1664</v>
      </c>
      <c r="P513" s="13" t="s">
        <v>1665</v>
      </c>
    </row>
    <row r="514" spans="1:16" ht="147.6">
      <c r="A514" s="3" t="s">
        <v>1666</v>
      </c>
      <c r="B514" s="2" t="str">
        <f>TRIM(Table1[[#This Row],[Chat Name]])</f>
        <v>Reincarnate</v>
      </c>
      <c r="C514" s="2">
        <v>7</v>
      </c>
      <c r="D514" s="2">
        <v>36</v>
      </c>
      <c r="E514" s="2" t="s">
        <v>80</v>
      </c>
      <c r="F514" s="6" t="b">
        <v>1</v>
      </c>
      <c r="G514" s="6" t="b">
        <v>0</v>
      </c>
      <c r="H514" s="2" t="s">
        <v>35</v>
      </c>
      <c r="I514" s="2" t="b">
        <v>0</v>
      </c>
      <c r="J514" s="2" t="s">
        <v>19</v>
      </c>
      <c r="K514" s="2" t="s">
        <v>110</v>
      </c>
      <c r="L514" s="2" t="b">
        <v>0</v>
      </c>
      <c r="M514" s="2" t="s">
        <v>1667</v>
      </c>
      <c r="N514" s="2" t="s">
        <v>1668</v>
      </c>
      <c r="O514" s="2"/>
    </row>
    <row r="515" spans="1:16" ht="135.4">
      <c r="A515" s="3" t="s">
        <v>1669</v>
      </c>
      <c r="B515" s="2" t="str">
        <f>TRIM(Table1[[#This Row],[Chat Name]])</f>
        <v>Relativity</v>
      </c>
      <c r="C515" s="2">
        <v>3</v>
      </c>
      <c r="D515" s="2">
        <v>9</v>
      </c>
      <c r="E515" s="2" t="s">
        <v>1432</v>
      </c>
      <c r="F515" s="7" t="b">
        <v>0</v>
      </c>
      <c r="G515" s="7" t="b">
        <v>1</v>
      </c>
      <c r="H515" s="2" t="s">
        <v>34</v>
      </c>
      <c r="I515" s="2" t="b">
        <v>1</v>
      </c>
      <c r="J515" s="2" t="s">
        <v>39</v>
      </c>
      <c r="K515" s="2" t="s">
        <v>163</v>
      </c>
      <c r="L515" s="2" t="b">
        <v>0</v>
      </c>
      <c r="M515" s="2"/>
      <c r="N515" s="2" t="s">
        <v>1670</v>
      </c>
      <c r="O515" s="2" t="s">
        <v>1671</v>
      </c>
      <c r="P515" s="13" t="s">
        <v>1671</v>
      </c>
    </row>
    <row r="516" spans="1:16" ht="49.15">
      <c r="A516" s="3" t="s">
        <v>1672</v>
      </c>
      <c r="B516" s="2" t="str">
        <f>TRIM(Table1[[#This Row],[Chat Name]])</f>
        <v>Remove Curse</v>
      </c>
      <c r="C516" s="2">
        <v>4</v>
      </c>
      <c r="D516" s="2">
        <v>15</v>
      </c>
      <c r="E516" s="2" t="s">
        <v>80</v>
      </c>
      <c r="F516" s="6" t="b">
        <v>1</v>
      </c>
      <c r="G516" s="6" t="b">
        <v>0</v>
      </c>
      <c r="H516" s="2" t="s">
        <v>34</v>
      </c>
      <c r="I516" s="2" t="b">
        <v>0</v>
      </c>
      <c r="J516" s="2" t="s">
        <v>19</v>
      </c>
      <c r="K516" s="2" t="s">
        <v>110</v>
      </c>
      <c r="L516" s="2" t="b">
        <v>0</v>
      </c>
      <c r="M516" s="2" t="s">
        <v>1673</v>
      </c>
      <c r="N516" s="2" t="s">
        <v>1674</v>
      </c>
      <c r="O516" s="2"/>
    </row>
    <row r="517" spans="1:16" ht="196.9">
      <c r="A517" s="3" t="s">
        <v>1675</v>
      </c>
      <c r="B517" s="2" t="str">
        <f>TRIM(Table1[[#This Row],[Chat Name]])</f>
        <v>Otiluke's Resilient Sphere</v>
      </c>
      <c r="C517" s="2">
        <v>5</v>
      </c>
      <c r="D517" s="2">
        <v>21</v>
      </c>
      <c r="E517" s="2" t="s">
        <v>30</v>
      </c>
      <c r="F517" s="6" t="b">
        <v>0</v>
      </c>
      <c r="G517" s="6" t="b">
        <v>1</v>
      </c>
      <c r="H517" s="2" t="s">
        <v>34</v>
      </c>
      <c r="I517" s="2" t="b">
        <v>1</v>
      </c>
      <c r="J517" s="2" t="s">
        <v>272</v>
      </c>
      <c r="K517" s="2" t="s">
        <v>52</v>
      </c>
      <c r="L517" s="2" t="b">
        <v>0</v>
      </c>
      <c r="M517" s="2" t="s">
        <v>1676</v>
      </c>
      <c r="N517" s="2" t="s">
        <v>1677</v>
      </c>
      <c r="O517" s="2"/>
    </row>
    <row r="518" spans="1:16" ht="49.15">
      <c r="A518" s="3" t="s">
        <v>1678</v>
      </c>
      <c r="B518" s="2" t="str">
        <f>TRIM(Table1[[#This Row],[Chat Name]])</f>
        <v>Resistance</v>
      </c>
      <c r="C518" s="2">
        <v>0</v>
      </c>
      <c r="D518" s="2">
        <v>0</v>
      </c>
      <c r="E518" s="2" t="s">
        <v>80</v>
      </c>
      <c r="F518" s="6" t="b">
        <v>1</v>
      </c>
      <c r="G518" s="6" t="b">
        <v>0</v>
      </c>
      <c r="H518" s="2" t="s">
        <v>34</v>
      </c>
      <c r="I518" s="2" t="b">
        <v>1</v>
      </c>
      <c r="J518" s="2" t="s">
        <v>272</v>
      </c>
      <c r="K518" s="2" t="s">
        <v>110</v>
      </c>
      <c r="L518" s="2" t="b">
        <v>0</v>
      </c>
      <c r="M518" s="2" t="s">
        <v>1679</v>
      </c>
      <c r="N518" s="2" t="s">
        <v>1680</v>
      </c>
      <c r="O518" s="2"/>
    </row>
    <row r="519" spans="1:16" ht="209.1">
      <c r="A519" s="3" t="s">
        <v>1681</v>
      </c>
      <c r="B519" s="2" t="str">
        <f>TRIM(Table1[[#This Row],[Chat Name]])</f>
        <v>Resurrection</v>
      </c>
      <c r="C519" s="2">
        <v>10</v>
      </c>
      <c r="D519" s="2">
        <v>66</v>
      </c>
      <c r="E519" s="2" t="s">
        <v>80</v>
      </c>
      <c r="F519" s="6" t="b">
        <v>1</v>
      </c>
      <c r="G519" s="6" t="b">
        <v>0</v>
      </c>
      <c r="H519" s="2" t="s">
        <v>35</v>
      </c>
      <c r="I519" s="2" t="b">
        <v>0</v>
      </c>
      <c r="J519" s="2" t="s">
        <v>19</v>
      </c>
      <c r="K519" s="2" t="s">
        <v>110</v>
      </c>
      <c r="L519" s="2" t="b">
        <v>0</v>
      </c>
      <c r="M519" s="2" t="s">
        <v>1682</v>
      </c>
      <c r="N519" s="2" t="s">
        <v>1683</v>
      </c>
      <c r="O519" s="2"/>
    </row>
    <row r="520" spans="1:16" ht="147.6">
      <c r="A520" s="3" t="s">
        <v>1684</v>
      </c>
      <c r="B520" s="2" t="str">
        <f>TRIM(Table1[[#This Row],[Chat Name]])</f>
        <v>Reverse Gravity</v>
      </c>
      <c r="C520" s="2">
        <v>9</v>
      </c>
      <c r="D520" s="2">
        <v>54</v>
      </c>
      <c r="E520" s="2" t="s">
        <v>30</v>
      </c>
      <c r="F520" s="6" t="b">
        <v>0</v>
      </c>
      <c r="G520" s="6" t="b">
        <v>1</v>
      </c>
      <c r="H520" s="2" t="s">
        <v>34</v>
      </c>
      <c r="I520" s="2" t="b">
        <v>1</v>
      </c>
      <c r="J520" s="2" t="s">
        <v>272</v>
      </c>
      <c r="K520" s="2" t="s">
        <v>987</v>
      </c>
      <c r="L520" s="2" t="b">
        <v>0</v>
      </c>
      <c r="M520" s="2" t="s">
        <v>1685</v>
      </c>
      <c r="N520" s="2" t="s">
        <v>1686</v>
      </c>
      <c r="O520" s="2"/>
    </row>
    <row r="521" spans="1:16" ht="159.94999999999999">
      <c r="A521" s="3" t="s">
        <v>1687</v>
      </c>
      <c r="B521" s="2" t="str">
        <f>TRIM(Table1[[#This Row],[Chat Name]])</f>
        <v>Rope Trick</v>
      </c>
      <c r="C521" s="2">
        <v>2</v>
      </c>
      <c r="D521" s="2">
        <v>6</v>
      </c>
      <c r="E521" s="2" t="s">
        <v>96</v>
      </c>
      <c r="F521" s="6" t="b">
        <v>0</v>
      </c>
      <c r="G521" s="6" t="b">
        <v>1</v>
      </c>
      <c r="H521" s="2" t="s">
        <v>34</v>
      </c>
      <c r="I521" s="2" t="b">
        <v>0</v>
      </c>
      <c r="J521" s="2" t="s">
        <v>35</v>
      </c>
      <c r="K521" s="2" t="s">
        <v>110</v>
      </c>
      <c r="L521" s="2" t="b">
        <v>0</v>
      </c>
      <c r="M521" s="2" t="s">
        <v>1688</v>
      </c>
      <c r="N521" s="2" t="s">
        <v>1689</v>
      </c>
      <c r="O521" s="2"/>
    </row>
    <row r="522" spans="1:16" ht="172.15">
      <c r="A522" s="3" t="s">
        <v>1690</v>
      </c>
      <c r="B522" s="2" t="str">
        <f>TRIM(Table1[[#This Row],[Chat Name]])</f>
        <v>Sage Manacles</v>
      </c>
      <c r="C522" s="2">
        <v>2</v>
      </c>
      <c r="D522" s="2">
        <v>6</v>
      </c>
      <c r="E522" s="2" t="s">
        <v>80</v>
      </c>
      <c r="F522" s="7" t="b">
        <v>1</v>
      </c>
      <c r="G522" s="7" t="b">
        <v>0</v>
      </c>
      <c r="H522" s="2" t="s">
        <v>34</v>
      </c>
      <c r="I522" s="2" t="b">
        <v>1</v>
      </c>
      <c r="J522" s="2" t="s">
        <v>35</v>
      </c>
      <c r="K522" s="2" t="s">
        <v>52</v>
      </c>
      <c r="L522" s="2" t="b">
        <v>0</v>
      </c>
      <c r="M522" s="2"/>
      <c r="N522" s="2" t="s">
        <v>1691</v>
      </c>
      <c r="O522" s="2"/>
    </row>
    <row r="523" spans="1:16" ht="98.45">
      <c r="A523" s="3" t="s">
        <v>1692</v>
      </c>
      <c r="B523" s="2" t="str">
        <f>TRIM(Table1[[#This Row],[Chat Name]])</f>
        <v>Sanctuary</v>
      </c>
      <c r="C523" s="2">
        <v>1</v>
      </c>
      <c r="D523" s="2">
        <v>3</v>
      </c>
      <c r="E523" s="2" t="s">
        <v>23</v>
      </c>
      <c r="F523" s="6" t="b">
        <v>1</v>
      </c>
      <c r="G523" s="6" t="b">
        <v>0</v>
      </c>
      <c r="H523" s="2" t="s">
        <v>31</v>
      </c>
      <c r="I523" s="2" t="b">
        <v>0</v>
      </c>
      <c r="J523" s="2" t="s">
        <v>39</v>
      </c>
      <c r="K523" s="2" t="s">
        <v>52</v>
      </c>
      <c r="L523" s="2" t="b">
        <v>0</v>
      </c>
      <c r="M523" s="2" t="s">
        <v>1693</v>
      </c>
      <c r="N523" s="2" t="s">
        <v>1694</v>
      </c>
      <c r="O523" s="2"/>
    </row>
    <row r="524" spans="1:16" ht="61.5">
      <c r="A524" s="3" t="s">
        <v>1695</v>
      </c>
      <c r="B524" s="2" t="str">
        <f>TRIM(Table1[[#This Row],[Chat Name]])</f>
        <v>Sapping Sting</v>
      </c>
      <c r="C524" s="2">
        <v>0</v>
      </c>
      <c r="D524" s="2">
        <v>0</v>
      </c>
      <c r="E524" s="2" t="s">
        <v>17</v>
      </c>
      <c r="F524" s="6" t="b">
        <v>0</v>
      </c>
      <c r="G524" s="6" t="b">
        <v>1</v>
      </c>
      <c r="H524" s="2" t="s">
        <v>34</v>
      </c>
      <c r="I524" s="2" t="b">
        <v>0</v>
      </c>
      <c r="J524" s="2" t="s">
        <v>19</v>
      </c>
      <c r="K524" s="2" t="s">
        <v>52</v>
      </c>
      <c r="L524" s="2" t="b">
        <v>0</v>
      </c>
      <c r="M524" s="2" t="s">
        <v>1696</v>
      </c>
      <c r="N524" s="2" t="s">
        <v>1697</v>
      </c>
      <c r="O524" s="2"/>
    </row>
    <row r="525" spans="1:16" ht="61.5">
      <c r="A525" s="3" t="s">
        <v>1698</v>
      </c>
      <c r="B525" s="2" t="str">
        <f>TRIM(Table1[[#This Row],[Chat Name]])</f>
        <v>Scatter</v>
      </c>
      <c r="C525" s="2">
        <v>7</v>
      </c>
      <c r="D525" s="2">
        <v>36</v>
      </c>
      <c r="E525" s="2" t="s">
        <v>96</v>
      </c>
      <c r="F525" s="6" t="b">
        <v>0</v>
      </c>
      <c r="G525" s="6" t="b">
        <v>1</v>
      </c>
      <c r="H525" s="2" t="s">
        <v>34</v>
      </c>
      <c r="I525" s="2" t="b">
        <v>0</v>
      </c>
      <c r="J525" s="2" t="s">
        <v>19</v>
      </c>
      <c r="K525" s="2" t="s">
        <v>52</v>
      </c>
      <c r="L525" s="2" t="b">
        <v>0</v>
      </c>
      <c r="M525" s="2" t="s">
        <v>1699</v>
      </c>
      <c r="N525" s="2" t="s">
        <v>1700</v>
      </c>
      <c r="O525" s="2"/>
    </row>
    <row r="526" spans="1:16" ht="57.6">
      <c r="A526" s="3" t="s">
        <v>1701</v>
      </c>
      <c r="B526" s="2" t="str">
        <f>TRIM(Table1[[#This Row],[Chat Name]])</f>
        <v>Scorching Ray</v>
      </c>
      <c r="C526" s="2">
        <v>2</v>
      </c>
      <c r="D526" s="2">
        <v>6</v>
      </c>
      <c r="E526" s="2" t="s">
        <v>153</v>
      </c>
      <c r="F526" s="6" t="b">
        <v>1</v>
      </c>
      <c r="G526" s="6" t="b">
        <v>0</v>
      </c>
      <c r="H526" s="2" t="s">
        <v>34</v>
      </c>
      <c r="I526" s="2" t="b">
        <v>0</v>
      </c>
      <c r="J526" s="2" t="s">
        <v>19</v>
      </c>
      <c r="K526" s="2" t="s">
        <v>160</v>
      </c>
      <c r="L526" s="2" t="b">
        <v>0</v>
      </c>
      <c r="M526" s="2" t="s">
        <v>1702</v>
      </c>
      <c r="N526" s="2" t="s">
        <v>1703</v>
      </c>
      <c r="O526" s="2" t="s">
        <v>1704</v>
      </c>
      <c r="P526" s="13" t="s">
        <v>1704</v>
      </c>
    </row>
    <row r="527" spans="1:16" ht="98.45">
      <c r="A527" s="3"/>
      <c r="B527" s="2" t="str">
        <f>TRIM(Table1[[#This Row],[Chat Name]])</f>
        <v/>
      </c>
      <c r="C527" s="2">
        <v>3</v>
      </c>
      <c r="D527" s="2">
        <v>9</v>
      </c>
      <c r="E527" s="2" t="s">
        <v>17</v>
      </c>
      <c r="F527" s="6" t="b">
        <v>0</v>
      </c>
      <c r="G527" s="6" t="b">
        <v>1</v>
      </c>
      <c r="H527" s="2" t="s">
        <v>34</v>
      </c>
      <c r="I527" s="2" t="b">
        <v>1</v>
      </c>
      <c r="J527" s="2" t="s">
        <v>39</v>
      </c>
      <c r="K527" s="2" t="s">
        <v>52</v>
      </c>
      <c r="L527" s="2" t="b">
        <v>0</v>
      </c>
      <c r="M527" s="2"/>
      <c r="N527" s="2" t="s">
        <v>1705</v>
      </c>
      <c r="O527" s="2" t="s">
        <v>1706</v>
      </c>
      <c r="P527" s="13" t="s">
        <v>1706</v>
      </c>
    </row>
    <row r="528" spans="1:16" ht="123">
      <c r="A528" s="3" t="s">
        <v>1707</v>
      </c>
      <c r="B528" s="2" t="str">
        <f>TRIM(Table1[[#This Row],[Chat Name]])</f>
        <v>Searing Smite</v>
      </c>
      <c r="C528" s="2">
        <v>1</v>
      </c>
      <c r="D528" s="2">
        <v>3</v>
      </c>
      <c r="E528" s="2" t="s">
        <v>80</v>
      </c>
      <c r="F528" s="6" t="b">
        <v>1</v>
      </c>
      <c r="G528" s="6" t="b">
        <v>0</v>
      </c>
      <c r="H528" s="2" t="s">
        <v>31</v>
      </c>
      <c r="I528" s="2" t="b">
        <v>1</v>
      </c>
      <c r="J528" s="2" t="s">
        <v>272</v>
      </c>
      <c r="K528" s="2" t="s">
        <v>59</v>
      </c>
      <c r="L528" s="2" t="b">
        <v>0</v>
      </c>
      <c r="M528" s="2" t="s">
        <v>1708</v>
      </c>
      <c r="N528" s="2" t="s">
        <v>1709</v>
      </c>
      <c r="O528" s="2" t="s">
        <v>1710</v>
      </c>
      <c r="P528" s="13" t="s">
        <v>1710</v>
      </c>
    </row>
    <row r="529" spans="1:16" ht="36.950000000000003">
      <c r="A529" s="3" t="s">
        <v>1711</v>
      </c>
      <c r="B529" s="2" t="str">
        <f>TRIM(Table1[[#This Row],[Chat Name]])</f>
        <v>See Invisibility</v>
      </c>
      <c r="C529" s="2">
        <v>2</v>
      </c>
      <c r="D529" s="2">
        <v>6</v>
      </c>
      <c r="E529" s="2" t="s">
        <v>73</v>
      </c>
      <c r="F529" s="6" t="b">
        <v>0</v>
      </c>
      <c r="G529" s="6" t="b">
        <v>1</v>
      </c>
      <c r="H529" s="2" t="s">
        <v>34</v>
      </c>
      <c r="I529" s="2" t="b">
        <v>0</v>
      </c>
      <c r="J529" s="2" t="s">
        <v>35</v>
      </c>
      <c r="K529" s="2" t="s">
        <v>59</v>
      </c>
      <c r="L529" s="2" t="b">
        <v>0</v>
      </c>
      <c r="M529" s="2" t="s">
        <v>1712</v>
      </c>
      <c r="N529" s="2" t="s">
        <v>1712</v>
      </c>
      <c r="O529" s="2"/>
    </row>
    <row r="530" spans="1:16" ht="57.6">
      <c r="A530" s="3"/>
      <c r="B530" s="2" t="str">
        <f>TRIM(Table1[[#This Row],[Chat Name]])</f>
        <v/>
      </c>
      <c r="C530" s="2">
        <v>3</v>
      </c>
      <c r="D530" s="2">
        <v>9</v>
      </c>
      <c r="E530" s="2" t="s">
        <v>30</v>
      </c>
      <c r="F530" s="6" t="b">
        <v>0</v>
      </c>
      <c r="G530" s="6" t="b">
        <v>1</v>
      </c>
      <c r="H530" s="2" t="s">
        <v>34</v>
      </c>
      <c r="I530" s="2" t="b">
        <v>0</v>
      </c>
      <c r="J530" s="2" t="s">
        <v>19</v>
      </c>
      <c r="K530" s="2" t="s">
        <v>59</v>
      </c>
      <c r="L530" s="2" t="b">
        <v>0</v>
      </c>
      <c r="M530" s="2"/>
      <c r="N530" s="2" t="s">
        <v>1713</v>
      </c>
      <c r="O530" s="2" t="s">
        <v>1714</v>
      </c>
      <c r="P530" s="13" t="s">
        <v>1715</v>
      </c>
    </row>
    <row r="531" spans="1:16" ht="270.60000000000002">
      <c r="A531" s="3" t="s">
        <v>1716</v>
      </c>
      <c r="B531" s="2" t="str">
        <f>TRIM(Table1[[#This Row],[Chat Name]])</f>
        <v>Seeming</v>
      </c>
      <c r="C531" s="2">
        <v>6</v>
      </c>
      <c r="D531" s="2">
        <v>27</v>
      </c>
      <c r="E531" s="2" t="s">
        <v>96</v>
      </c>
      <c r="F531" s="6" t="b">
        <v>0</v>
      </c>
      <c r="G531" s="6" t="b">
        <v>1</v>
      </c>
      <c r="H531" s="2" t="s">
        <v>34</v>
      </c>
      <c r="I531" s="2" t="b">
        <v>0</v>
      </c>
      <c r="J531" s="2" t="s">
        <v>40</v>
      </c>
      <c r="K531" s="2" t="s">
        <v>52</v>
      </c>
      <c r="L531" s="2" t="b">
        <v>0</v>
      </c>
      <c r="M531" s="2" t="s">
        <v>1717</v>
      </c>
      <c r="N531" s="2" t="s">
        <v>1718</v>
      </c>
      <c r="O531" s="2"/>
    </row>
    <row r="532" spans="1:16" ht="86.45">
      <c r="A532" s="3"/>
      <c r="B532" s="2" t="str">
        <f>TRIM(Table1[[#This Row],[Chat Name]])</f>
        <v/>
      </c>
      <c r="C532" s="2">
        <v>4</v>
      </c>
      <c r="D532" s="2">
        <v>15</v>
      </c>
      <c r="E532" s="2" t="s">
        <v>30</v>
      </c>
      <c r="F532" s="6" t="b">
        <v>0</v>
      </c>
      <c r="G532" s="6" t="b">
        <v>1</v>
      </c>
      <c r="H532" s="2" t="s">
        <v>31</v>
      </c>
      <c r="I532" s="2" t="b">
        <v>0</v>
      </c>
      <c r="J532" s="2" t="s">
        <v>19</v>
      </c>
      <c r="K532" s="2" t="s">
        <v>110</v>
      </c>
      <c r="L532" s="2" t="b">
        <v>1</v>
      </c>
      <c r="M532" s="2"/>
      <c r="N532" s="2" t="s">
        <v>1719</v>
      </c>
      <c r="O532" s="2" t="s">
        <v>1720</v>
      </c>
      <c r="P532" s="13" t="s">
        <v>1720</v>
      </c>
    </row>
    <row r="533" spans="1:16" ht="110.65">
      <c r="A533" s="3" t="s">
        <v>1721</v>
      </c>
      <c r="B533" s="2" t="str">
        <f>TRIM(Table1[[#This Row],[Chat Name]])</f>
        <v>Sending</v>
      </c>
      <c r="C533" s="2">
        <v>4</v>
      </c>
      <c r="D533" s="2">
        <v>15</v>
      </c>
      <c r="E533" s="2" t="s">
        <v>73</v>
      </c>
      <c r="F533" s="6" t="b">
        <v>0</v>
      </c>
      <c r="G533" s="6" t="b">
        <v>1</v>
      </c>
      <c r="H533" s="2" t="s">
        <v>34</v>
      </c>
      <c r="I533" s="2" t="b">
        <v>0</v>
      </c>
      <c r="J533" s="2" t="s">
        <v>144</v>
      </c>
      <c r="K533" s="2" t="s">
        <v>1722</v>
      </c>
      <c r="L533" s="2" t="b">
        <v>0</v>
      </c>
      <c r="M533" s="2" t="s">
        <v>1723</v>
      </c>
      <c r="N533" s="2" t="s">
        <v>1724</v>
      </c>
      <c r="O533" s="2"/>
    </row>
    <row r="534" spans="1:16" ht="110.65">
      <c r="A534" s="3" t="s">
        <v>1725</v>
      </c>
      <c r="B534" s="2" t="str">
        <f>TRIM(Table1[[#This Row],[Chat Name]])</f>
        <v>Arcane Eye</v>
      </c>
      <c r="C534" s="2">
        <v>5</v>
      </c>
      <c r="D534" s="2">
        <v>21</v>
      </c>
      <c r="E534" s="2" t="s">
        <v>73</v>
      </c>
      <c r="F534" s="6" t="b">
        <v>0</v>
      </c>
      <c r="G534" s="6" t="b">
        <v>1</v>
      </c>
      <c r="H534" s="2" t="s">
        <v>34</v>
      </c>
      <c r="I534" s="2" t="b">
        <v>1</v>
      </c>
      <c r="J534" s="2" t="s">
        <v>245</v>
      </c>
      <c r="K534" s="2" t="s">
        <v>52</v>
      </c>
      <c r="L534" s="2" t="b">
        <v>0</v>
      </c>
      <c r="M534" s="2" t="s">
        <v>1726</v>
      </c>
      <c r="N534" s="2" t="s">
        <v>1726</v>
      </c>
      <c r="O534" s="2"/>
    </row>
    <row r="535" spans="1:16" ht="147.6">
      <c r="A535" s="3" t="s">
        <v>1727</v>
      </c>
      <c r="B535" s="2" t="str">
        <f>TRIM(Table1[[#This Row],[Chat Name]])</f>
        <v>Sequester</v>
      </c>
      <c r="C535" s="2">
        <v>10</v>
      </c>
      <c r="D535" s="2">
        <v>66</v>
      </c>
      <c r="E535" s="2" t="s">
        <v>30</v>
      </c>
      <c r="F535" s="6" t="b">
        <v>0</v>
      </c>
      <c r="G535" s="6" t="b">
        <v>1</v>
      </c>
      <c r="H535" s="2" t="s">
        <v>34</v>
      </c>
      <c r="I535" s="2" t="b">
        <v>0</v>
      </c>
      <c r="J535" s="2" t="s">
        <v>307</v>
      </c>
      <c r="K535" s="2" t="s">
        <v>110</v>
      </c>
      <c r="L535" s="2" t="b">
        <v>0</v>
      </c>
      <c r="M535" s="2" t="s">
        <v>1728</v>
      </c>
      <c r="N535" s="2" t="s">
        <v>1729</v>
      </c>
      <c r="O535" s="2"/>
    </row>
    <row r="536" spans="1:16" ht="123">
      <c r="A536" s="3" t="s">
        <v>1730</v>
      </c>
      <c r="B536" s="2" t="str">
        <f>TRIM(Table1[[#This Row],[Chat Name]])</f>
        <v>Shadow Blade</v>
      </c>
      <c r="C536" s="2">
        <v>3</v>
      </c>
      <c r="D536" s="2">
        <v>9</v>
      </c>
      <c r="E536" s="2" t="s">
        <v>23</v>
      </c>
      <c r="F536" s="6" t="b">
        <v>1</v>
      </c>
      <c r="G536" s="6" t="b">
        <v>0</v>
      </c>
      <c r="H536" s="2" t="s">
        <v>31</v>
      </c>
      <c r="I536" s="2" t="b">
        <v>1</v>
      </c>
      <c r="J536" s="2" t="s">
        <v>272</v>
      </c>
      <c r="K536" s="2" t="s">
        <v>59</v>
      </c>
      <c r="L536" s="2" t="b">
        <v>0</v>
      </c>
      <c r="M536" s="2" t="s">
        <v>1731</v>
      </c>
      <c r="N536" s="2" t="s">
        <v>1732</v>
      </c>
      <c r="O536" s="2" t="s">
        <v>1733</v>
      </c>
      <c r="P536" s="13" t="s">
        <v>1733</v>
      </c>
    </row>
    <row r="537" spans="1:16" ht="98.45">
      <c r="A537" s="3" t="s">
        <v>1734</v>
      </c>
      <c r="B537" s="2" t="str">
        <f>TRIM(Table1[[#This Row],[Chat Name]])</f>
        <v>Shadow of Moil</v>
      </c>
      <c r="C537" s="2">
        <v>5</v>
      </c>
      <c r="D537" s="2">
        <v>21</v>
      </c>
      <c r="E537" s="2" t="s">
        <v>23</v>
      </c>
      <c r="F537" s="6" t="b">
        <v>1</v>
      </c>
      <c r="G537" s="6" t="b">
        <v>0</v>
      </c>
      <c r="H537" s="2" t="s">
        <v>34</v>
      </c>
      <c r="I537" s="2" t="b">
        <v>1</v>
      </c>
      <c r="J537" s="2" t="s">
        <v>272</v>
      </c>
      <c r="K537" s="2" t="s">
        <v>59</v>
      </c>
      <c r="L537" s="2" t="b">
        <v>0</v>
      </c>
      <c r="M537" s="2" t="s">
        <v>1735</v>
      </c>
      <c r="N537" s="2" t="s">
        <v>1736</v>
      </c>
      <c r="O537" s="2"/>
    </row>
    <row r="538" spans="1:16" ht="73.900000000000006">
      <c r="A538" s="3"/>
      <c r="B538" s="2" t="str">
        <f>TRIM(Table1[[#This Row],[Chat Name]])</f>
        <v/>
      </c>
      <c r="C538" s="2">
        <v>1</v>
      </c>
      <c r="D538" s="2">
        <v>3</v>
      </c>
      <c r="E538" s="2" t="s">
        <v>23</v>
      </c>
      <c r="F538" s="6" t="b">
        <v>1</v>
      </c>
      <c r="G538" s="6" t="b">
        <v>0</v>
      </c>
      <c r="H538" s="2" t="s">
        <v>34</v>
      </c>
      <c r="I538" s="2" t="b">
        <v>1</v>
      </c>
      <c r="J538" s="2" t="s">
        <v>39</v>
      </c>
      <c r="K538" s="2" t="s">
        <v>56</v>
      </c>
      <c r="L538" s="2" t="b">
        <v>0</v>
      </c>
      <c r="M538" s="2"/>
      <c r="N538" s="2" t="s">
        <v>1737</v>
      </c>
      <c r="O538" s="2" t="s">
        <v>777</v>
      </c>
      <c r="P538" s="13" t="s">
        <v>777</v>
      </c>
    </row>
    <row r="539" spans="1:16" ht="135.4">
      <c r="A539" s="3" t="s">
        <v>1738</v>
      </c>
      <c r="B539" s="2" t="str">
        <f>TRIM(Table1[[#This Row],[Chat Name]])</f>
        <v>Evard's Black Tentacles</v>
      </c>
      <c r="C539" s="2">
        <v>5</v>
      </c>
      <c r="D539" s="2">
        <v>21</v>
      </c>
      <c r="E539" s="2" t="s">
        <v>23</v>
      </c>
      <c r="F539" s="6" t="b">
        <v>1</v>
      </c>
      <c r="G539" s="6" t="b">
        <v>0</v>
      </c>
      <c r="H539" s="2" t="s">
        <v>34</v>
      </c>
      <c r="I539" s="2" t="b">
        <v>1</v>
      </c>
      <c r="J539" s="2" t="s">
        <v>272</v>
      </c>
      <c r="K539" s="2" t="s">
        <v>64</v>
      </c>
      <c r="L539" s="2" t="b">
        <v>0</v>
      </c>
      <c r="M539" s="2" t="s">
        <v>1739</v>
      </c>
      <c r="N539" s="2" t="s">
        <v>1740</v>
      </c>
      <c r="O539" s="2"/>
    </row>
    <row r="540" spans="1:16" ht="159.94999999999999">
      <c r="A540" s="3" t="s">
        <v>1741</v>
      </c>
      <c r="B540" s="2" t="str">
        <f>TRIM(Table1[[#This Row],[Chat Name]])</f>
        <v>Shape Water</v>
      </c>
      <c r="C540" s="2">
        <v>0</v>
      </c>
      <c r="D540" s="2">
        <v>0</v>
      </c>
      <c r="E540" s="2" t="s">
        <v>153</v>
      </c>
      <c r="F540" s="6" t="b">
        <v>1</v>
      </c>
      <c r="G540" s="6" t="b">
        <v>0</v>
      </c>
      <c r="H540" s="2" t="s">
        <v>34</v>
      </c>
      <c r="I540" s="2" t="b">
        <v>0</v>
      </c>
      <c r="J540" s="2" t="s">
        <v>581</v>
      </c>
      <c r="K540" s="2" t="s">
        <v>52</v>
      </c>
      <c r="L540" s="2" t="b">
        <v>0</v>
      </c>
      <c r="M540" s="2" t="s">
        <v>1742</v>
      </c>
      <c r="N540" s="2" t="s">
        <v>1743</v>
      </c>
      <c r="O540" s="2"/>
    </row>
    <row r="541" spans="1:16" ht="409.5">
      <c r="A541" s="3" t="s">
        <v>1744</v>
      </c>
      <c r="B541" s="2" t="str">
        <f>TRIM(Table1[[#This Row],[Chat Name]])</f>
        <v>Shapechange</v>
      </c>
      <c r="C541" s="2">
        <v>12</v>
      </c>
      <c r="D541" s="2">
        <v>90</v>
      </c>
      <c r="E541" s="2" t="s">
        <v>244</v>
      </c>
      <c r="F541" s="6" t="b">
        <v>1</v>
      </c>
      <c r="G541" s="6" t="b">
        <v>0</v>
      </c>
      <c r="H541" s="2" t="s">
        <v>34</v>
      </c>
      <c r="I541" s="2" t="b">
        <v>1</v>
      </c>
      <c r="J541" s="2" t="s">
        <v>245</v>
      </c>
      <c r="K541" s="2" t="s">
        <v>59</v>
      </c>
      <c r="L541" s="2" t="b">
        <v>0</v>
      </c>
      <c r="M541" s="2" t="s">
        <v>1745</v>
      </c>
      <c r="N541" s="2" t="s">
        <v>1746</v>
      </c>
      <c r="O541" s="2"/>
    </row>
    <row r="542" spans="1:16" ht="110.65">
      <c r="A542" s="3" t="s">
        <v>1747</v>
      </c>
      <c r="B542" s="2" t="str">
        <f>TRIM(Table1[[#This Row],[Chat Name]])</f>
        <v>Shatter</v>
      </c>
      <c r="C542" s="2">
        <v>2</v>
      </c>
      <c r="D542" s="2">
        <v>6</v>
      </c>
      <c r="E542" s="2" t="s">
        <v>96</v>
      </c>
      <c r="F542" s="6" t="b">
        <v>0</v>
      </c>
      <c r="G542" s="6" t="b">
        <v>1</v>
      </c>
      <c r="H542" s="2" t="s">
        <v>34</v>
      </c>
      <c r="I542" s="2" t="b">
        <v>0</v>
      </c>
      <c r="J542" s="2" t="s">
        <v>19</v>
      </c>
      <c r="K542" s="2" t="s">
        <v>56</v>
      </c>
      <c r="L542" s="2" t="b">
        <v>0</v>
      </c>
      <c r="M542" s="2" t="s">
        <v>1748</v>
      </c>
      <c r="N542" s="2" t="s">
        <v>1749</v>
      </c>
      <c r="O542" s="2" t="s">
        <v>798</v>
      </c>
      <c r="P542" s="13" t="s">
        <v>798</v>
      </c>
    </row>
    <row r="543" spans="1:16" ht="49.15">
      <c r="A543" s="3" t="s">
        <v>1750</v>
      </c>
      <c r="B543" s="2" t="str">
        <f>TRIM(Table1[[#This Row],[Chat Name]])</f>
        <v>Shield</v>
      </c>
      <c r="C543" s="2">
        <v>1</v>
      </c>
      <c r="D543" s="2">
        <v>3</v>
      </c>
      <c r="E543" s="2" t="s">
        <v>80</v>
      </c>
      <c r="F543" s="6" t="b">
        <v>1</v>
      </c>
      <c r="G543" s="6" t="b">
        <v>0</v>
      </c>
      <c r="H543" s="2" t="s">
        <v>1751</v>
      </c>
      <c r="I543" s="2" t="b">
        <v>0</v>
      </c>
      <c r="J543" s="2" t="s">
        <v>144</v>
      </c>
      <c r="K543" s="2" t="s">
        <v>59</v>
      </c>
      <c r="L543" s="2" t="b">
        <v>0</v>
      </c>
      <c r="M543" s="2" t="s">
        <v>1752</v>
      </c>
      <c r="N543" s="2" t="s">
        <v>1752</v>
      </c>
      <c r="O543" s="2"/>
    </row>
    <row r="544" spans="1:16" ht="36.950000000000003">
      <c r="A544" s="3" t="s">
        <v>1753</v>
      </c>
      <c r="B544" s="2" t="str">
        <f>TRIM(Table1[[#This Row],[Chat Name]])</f>
        <v>Shield of Faith</v>
      </c>
      <c r="C544" s="2">
        <v>1</v>
      </c>
      <c r="D544" s="2">
        <v>3</v>
      </c>
      <c r="E544" s="2" t="s">
        <v>23</v>
      </c>
      <c r="F544" s="6" t="b">
        <v>1</v>
      </c>
      <c r="G544" s="6" t="b">
        <v>0</v>
      </c>
      <c r="H544" s="2" t="s">
        <v>31</v>
      </c>
      <c r="I544" s="2" t="b">
        <v>1</v>
      </c>
      <c r="J544" s="2" t="s">
        <v>301</v>
      </c>
      <c r="K544" s="2" t="s">
        <v>56</v>
      </c>
      <c r="L544" s="2" t="b">
        <v>0</v>
      </c>
      <c r="M544" s="2" t="s">
        <v>1754</v>
      </c>
      <c r="N544" s="2" t="s">
        <v>1754</v>
      </c>
      <c r="O544" s="2"/>
    </row>
    <row r="545" spans="1:16" ht="86.1">
      <c r="A545" s="3" t="s">
        <v>1755</v>
      </c>
      <c r="B545" s="2" t="str">
        <f>TRIM(Table1[[#This Row],[Chat Name]])</f>
        <v>Shocking Grasp</v>
      </c>
      <c r="C545" s="2">
        <v>0</v>
      </c>
      <c r="D545" s="2">
        <v>0</v>
      </c>
      <c r="E545" s="2" t="s">
        <v>153</v>
      </c>
      <c r="F545" s="6" t="b">
        <v>1</v>
      </c>
      <c r="G545" s="6" t="b">
        <v>0</v>
      </c>
      <c r="H545" s="2" t="s">
        <v>34</v>
      </c>
      <c r="I545" s="2" t="b">
        <v>0</v>
      </c>
      <c r="J545" s="2" t="s">
        <v>19</v>
      </c>
      <c r="K545" s="2" t="s">
        <v>110</v>
      </c>
      <c r="L545" s="2" t="b">
        <v>0</v>
      </c>
      <c r="M545" s="2" t="s">
        <v>1756</v>
      </c>
      <c r="N545" s="2" t="s">
        <v>1757</v>
      </c>
      <c r="O545" s="2"/>
    </row>
    <row r="546" spans="1:16" ht="73.900000000000006">
      <c r="A546" s="3"/>
      <c r="B546" s="2" t="str">
        <f>TRIM(Table1[[#This Row],[Chat Name]])</f>
        <v/>
      </c>
      <c r="C546" s="2">
        <v>0</v>
      </c>
      <c r="D546" s="2">
        <v>0</v>
      </c>
      <c r="E546" s="2" t="s">
        <v>23</v>
      </c>
      <c r="F546" s="6" t="b">
        <v>1</v>
      </c>
      <c r="G546" s="6" t="b">
        <v>0</v>
      </c>
      <c r="H546" s="2" t="s">
        <v>34</v>
      </c>
      <c r="I546" s="2" t="b">
        <v>0</v>
      </c>
      <c r="J546" s="2" t="s">
        <v>19</v>
      </c>
      <c r="K546" s="2" t="s">
        <v>56</v>
      </c>
      <c r="L546" s="2" t="b">
        <v>0</v>
      </c>
      <c r="M546" s="2"/>
      <c r="N546" s="2" t="s">
        <v>1758</v>
      </c>
      <c r="O546" s="2" t="s">
        <v>697</v>
      </c>
      <c r="P546" s="13" t="s">
        <v>698</v>
      </c>
    </row>
    <row r="547" spans="1:16" ht="123">
      <c r="A547" s="3" t="s">
        <v>1759</v>
      </c>
      <c r="B547" s="2" t="str">
        <f>TRIM(Table1[[#This Row],[Chat Name]])</f>
        <v>Sickening Radiance</v>
      </c>
      <c r="C547" s="2">
        <v>5</v>
      </c>
      <c r="D547" s="2">
        <v>21</v>
      </c>
      <c r="E547" s="2" t="s">
        <v>96</v>
      </c>
      <c r="F547" s="6" t="b">
        <v>0</v>
      </c>
      <c r="G547" s="6" t="b">
        <v>1</v>
      </c>
      <c r="H547" s="2" t="s">
        <v>34</v>
      </c>
      <c r="I547" s="2" t="b">
        <v>1</v>
      </c>
      <c r="J547" s="2" t="s">
        <v>301</v>
      </c>
      <c r="K547" s="2" t="s">
        <v>160</v>
      </c>
      <c r="L547" s="2" t="b">
        <v>0</v>
      </c>
      <c r="M547" s="2" t="s">
        <v>1760</v>
      </c>
      <c r="N547" s="2" t="s">
        <v>1761</v>
      </c>
      <c r="O547" s="2"/>
    </row>
    <row r="548" spans="1:16" ht="73.900000000000006">
      <c r="A548" s="3" t="s">
        <v>1762</v>
      </c>
      <c r="B548" s="2" t="str">
        <f>TRIM(Table1[[#This Row],[Chat Name]])</f>
        <v>Silence</v>
      </c>
      <c r="C548" s="2">
        <v>2</v>
      </c>
      <c r="D548" s="2">
        <v>6</v>
      </c>
      <c r="E548" s="2" t="s">
        <v>30</v>
      </c>
      <c r="F548" s="6" t="b">
        <v>0</v>
      </c>
      <c r="G548" s="6" t="b">
        <v>1</v>
      </c>
      <c r="H548" s="2" t="s">
        <v>34</v>
      </c>
      <c r="I548" s="2" t="b">
        <v>1</v>
      </c>
      <c r="J548" s="2" t="s">
        <v>301</v>
      </c>
      <c r="K548" s="2" t="s">
        <v>160</v>
      </c>
      <c r="L548" s="2" t="b">
        <v>1</v>
      </c>
      <c r="M548" s="2" t="s">
        <v>1763</v>
      </c>
      <c r="N548" s="2" t="s">
        <v>1764</v>
      </c>
      <c r="O548" s="2"/>
    </row>
    <row r="549" spans="1:16" ht="196.9">
      <c r="A549" s="3" t="s">
        <v>1765</v>
      </c>
      <c r="B549" s="2" t="str">
        <f>TRIM(Table1[[#This Row],[Chat Name]])</f>
        <v>Silent Image</v>
      </c>
      <c r="C549" s="2">
        <v>1</v>
      </c>
      <c r="D549" s="2">
        <v>3</v>
      </c>
      <c r="E549" s="2" t="s">
        <v>96</v>
      </c>
      <c r="F549" s="6" t="b">
        <v>0</v>
      </c>
      <c r="G549" s="6" t="b">
        <v>1</v>
      </c>
      <c r="H549" s="2" t="s">
        <v>34</v>
      </c>
      <c r="I549" s="2" t="b">
        <v>1</v>
      </c>
      <c r="J549" s="2" t="s">
        <v>301</v>
      </c>
      <c r="K549" s="2" t="s">
        <v>56</v>
      </c>
      <c r="L549" s="2" t="b">
        <v>0</v>
      </c>
      <c r="M549" s="2" t="s">
        <v>1766</v>
      </c>
      <c r="N549" s="2" t="s">
        <v>1767</v>
      </c>
      <c r="O549" s="2"/>
    </row>
    <row r="550" spans="1:16" ht="98.45">
      <c r="A550" s="3" t="s">
        <v>1768</v>
      </c>
      <c r="B550" s="2" t="str">
        <f>TRIM(Table1[[#This Row],[Chat Name]])</f>
        <v>Silvery Barbs</v>
      </c>
      <c r="C550" s="2">
        <v>1</v>
      </c>
      <c r="D550" s="2">
        <v>3</v>
      </c>
      <c r="E550" s="2" t="s">
        <v>73</v>
      </c>
      <c r="F550" s="6" t="b">
        <v>0</v>
      </c>
      <c r="G550" s="6" t="b">
        <v>1</v>
      </c>
      <c r="H550" s="2" t="s">
        <v>1769</v>
      </c>
      <c r="I550" s="2" t="b">
        <v>0</v>
      </c>
      <c r="J550" s="2" t="s">
        <v>19</v>
      </c>
      <c r="K550" s="2" t="s">
        <v>56</v>
      </c>
      <c r="L550" s="2" t="b">
        <v>0</v>
      </c>
      <c r="M550" s="2" t="s">
        <v>1770</v>
      </c>
      <c r="N550" s="2" t="s">
        <v>1771</v>
      </c>
      <c r="O550" s="2"/>
    </row>
    <row r="551" spans="1:16" ht="233.65">
      <c r="A551" s="3" t="s">
        <v>1772</v>
      </c>
      <c r="B551" s="2" t="str">
        <f>TRIM(Table1[[#This Row],[Chat Name]])</f>
        <v>Simulacrum</v>
      </c>
      <c r="C551" s="2">
        <v>10</v>
      </c>
      <c r="D551" s="2">
        <v>66</v>
      </c>
      <c r="E551" s="2" t="s">
        <v>30</v>
      </c>
      <c r="F551" s="6" t="b">
        <v>0</v>
      </c>
      <c r="G551" s="6" t="b">
        <v>1</v>
      </c>
      <c r="H551" s="2" t="s">
        <v>1773</v>
      </c>
      <c r="I551" s="2" t="b">
        <v>0</v>
      </c>
      <c r="J551" s="2" t="s">
        <v>307</v>
      </c>
      <c r="K551" s="2" t="s">
        <v>110</v>
      </c>
      <c r="L551" s="2" t="b">
        <v>0</v>
      </c>
      <c r="M551" s="2" t="s">
        <v>1774</v>
      </c>
      <c r="N551" s="2" t="s">
        <v>1775</v>
      </c>
      <c r="O551" s="2"/>
    </row>
    <row r="552" spans="1:16" ht="86.1">
      <c r="A552" s="3" t="s">
        <v>1776</v>
      </c>
      <c r="B552" s="2" t="str">
        <f>TRIM(Table1[[#This Row],[Chat Name]])</f>
        <v>Skill Empowerment</v>
      </c>
      <c r="C552" s="2">
        <v>6</v>
      </c>
      <c r="D552" s="2">
        <v>27</v>
      </c>
      <c r="E552" s="2" t="s">
        <v>244</v>
      </c>
      <c r="F552" s="6" t="b">
        <v>1</v>
      </c>
      <c r="G552" s="6" t="b">
        <v>0</v>
      </c>
      <c r="H552" s="2" t="s">
        <v>34</v>
      </c>
      <c r="I552" s="2" t="b">
        <v>1</v>
      </c>
      <c r="J552" s="2" t="s">
        <v>245</v>
      </c>
      <c r="K552" s="2" t="s">
        <v>110</v>
      </c>
      <c r="L552" s="2" t="b">
        <v>0</v>
      </c>
      <c r="M552" s="2" t="s">
        <v>1777</v>
      </c>
      <c r="N552" s="2" t="s">
        <v>1778</v>
      </c>
      <c r="O552" s="2"/>
    </row>
    <row r="553" spans="1:16" ht="61.5">
      <c r="A553" s="3" t="s">
        <v>1779</v>
      </c>
      <c r="B553" s="2" t="str">
        <f>TRIM(Table1[[#This Row],[Chat Name]])</f>
        <v>Skywrite</v>
      </c>
      <c r="C553" s="2">
        <v>2</v>
      </c>
      <c r="D553" s="2">
        <v>6</v>
      </c>
      <c r="E553" s="2" t="s">
        <v>244</v>
      </c>
      <c r="F553" s="6" t="b">
        <v>1</v>
      </c>
      <c r="G553" s="6" t="b">
        <v>0</v>
      </c>
      <c r="H553" s="2" t="s">
        <v>34</v>
      </c>
      <c r="I553" s="2" t="b">
        <v>1</v>
      </c>
      <c r="J553" s="2" t="s">
        <v>245</v>
      </c>
      <c r="K553" s="2" t="s">
        <v>1447</v>
      </c>
      <c r="L553" s="2" t="b">
        <v>1</v>
      </c>
      <c r="M553" s="2" t="s">
        <v>1780</v>
      </c>
      <c r="N553" s="2" t="s">
        <v>1781</v>
      </c>
      <c r="O553" s="2"/>
    </row>
    <row r="554" spans="1:16" ht="172.15">
      <c r="A554" s="3" t="s">
        <v>1782</v>
      </c>
      <c r="B554" s="2" t="str">
        <f>TRIM(Table1[[#This Row],[Chat Name]])</f>
        <v>Sleep</v>
      </c>
      <c r="C554" s="2">
        <v>1</v>
      </c>
      <c r="D554" s="2">
        <v>3</v>
      </c>
      <c r="E554" s="2" t="s">
        <v>73</v>
      </c>
      <c r="F554" s="6" t="b">
        <v>0</v>
      </c>
      <c r="G554" s="6" t="b">
        <v>1</v>
      </c>
      <c r="H554" s="2" t="s">
        <v>34</v>
      </c>
      <c r="I554" s="2" t="b">
        <v>0</v>
      </c>
      <c r="J554" s="2" t="s">
        <v>39</v>
      </c>
      <c r="K554" s="2" t="s">
        <v>64</v>
      </c>
      <c r="L554" s="2" t="b">
        <v>0</v>
      </c>
      <c r="M554" s="2" t="s">
        <v>1783</v>
      </c>
      <c r="N554" s="2" t="s">
        <v>1784</v>
      </c>
      <c r="O554" s="2" t="s">
        <v>1785</v>
      </c>
      <c r="P554" s="13" t="s">
        <v>1785</v>
      </c>
    </row>
    <row r="555" spans="1:16" ht="123">
      <c r="A555" s="3" t="s">
        <v>1786</v>
      </c>
      <c r="B555" s="2" t="str">
        <f>TRIM(Table1[[#This Row],[Chat Name]])</f>
        <v>Sleet Storm</v>
      </c>
      <c r="C555" s="2">
        <v>3</v>
      </c>
      <c r="D555" s="2">
        <v>9</v>
      </c>
      <c r="E555" s="2" t="s">
        <v>153</v>
      </c>
      <c r="F555" s="6" t="b">
        <v>1</v>
      </c>
      <c r="G555" s="6" t="b">
        <v>0</v>
      </c>
      <c r="H555" s="2" t="s">
        <v>34</v>
      </c>
      <c r="I555" s="2" t="b">
        <v>1</v>
      </c>
      <c r="J555" s="2" t="s">
        <v>272</v>
      </c>
      <c r="K555" s="2" t="s">
        <v>460</v>
      </c>
      <c r="L555" s="2" t="b">
        <v>0</v>
      </c>
      <c r="M555" s="2" t="s">
        <v>1787</v>
      </c>
      <c r="N555" s="2" t="s">
        <v>1788</v>
      </c>
      <c r="O555" s="2"/>
    </row>
    <row r="556" spans="1:16" ht="184.5">
      <c r="A556" s="3" t="s">
        <v>1789</v>
      </c>
      <c r="B556" s="2" t="str">
        <f>TRIM(Table1[[#This Row],[Chat Name]])</f>
        <v>Slow</v>
      </c>
      <c r="C556" s="2">
        <v>4</v>
      </c>
      <c r="D556" s="2">
        <v>15</v>
      </c>
      <c r="E556" s="2" t="s">
        <v>244</v>
      </c>
      <c r="F556" s="6" t="b">
        <v>1</v>
      </c>
      <c r="G556" s="6" t="b">
        <v>0</v>
      </c>
      <c r="H556" s="2" t="s">
        <v>34</v>
      </c>
      <c r="I556" s="2" t="b">
        <v>1</v>
      </c>
      <c r="J556" s="2" t="s">
        <v>272</v>
      </c>
      <c r="K556" s="2" t="s">
        <v>160</v>
      </c>
      <c r="L556" s="2" t="b">
        <v>0</v>
      </c>
      <c r="M556" s="2" t="s">
        <v>1790</v>
      </c>
      <c r="N556" s="2" t="s">
        <v>1791</v>
      </c>
      <c r="O556" s="2"/>
    </row>
    <row r="557" spans="1:16" ht="221.45">
      <c r="A557" s="3" t="s">
        <v>1792</v>
      </c>
      <c r="B557" s="2" t="str">
        <f>TRIM(Table1[[#This Row],[Chat Name]])</f>
        <v>Snap Freeze</v>
      </c>
      <c r="C557" s="2">
        <v>5</v>
      </c>
      <c r="D557" s="2">
        <v>21</v>
      </c>
      <c r="E557" s="2" t="s">
        <v>153</v>
      </c>
      <c r="F557" s="7" t="b">
        <v>1</v>
      </c>
      <c r="G557" s="7" t="b">
        <v>0</v>
      </c>
      <c r="H557" s="2" t="s">
        <v>34</v>
      </c>
      <c r="I557" s="2" t="b">
        <v>0</v>
      </c>
      <c r="J557" s="2" t="s">
        <v>19</v>
      </c>
      <c r="K557" s="2" t="s">
        <v>163</v>
      </c>
      <c r="L557" s="2" t="b">
        <v>0</v>
      </c>
      <c r="M557" s="2"/>
      <c r="N557" s="2" t="s">
        <v>1793</v>
      </c>
      <c r="O557" s="2" t="s">
        <v>1794</v>
      </c>
      <c r="P557" s="13" t="s">
        <v>1794</v>
      </c>
    </row>
    <row r="558" spans="1:16" ht="209.1">
      <c r="A558" s="3" t="s">
        <v>1795</v>
      </c>
      <c r="B558" s="2" t="str">
        <f>TRIM(Table1[[#This Row],[Chat Name]])</f>
        <v>Snare</v>
      </c>
      <c r="C558" s="2">
        <v>1</v>
      </c>
      <c r="D558" s="2">
        <v>3</v>
      </c>
      <c r="E558" s="2" t="s">
        <v>244</v>
      </c>
      <c r="F558" s="6" t="b">
        <v>1</v>
      </c>
      <c r="G558" s="6" t="b">
        <v>0</v>
      </c>
      <c r="H558" s="2" t="s">
        <v>39</v>
      </c>
      <c r="I558" s="2" t="b">
        <v>0</v>
      </c>
      <c r="J558" s="2" t="s">
        <v>40</v>
      </c>
      <c r="K558" s="2" t="s">
        <v>110</v>
      </c>
      <c r="L558" s="2" t="b">
        <v>0</v>
      </c>
      <c r="M558" s="2" t="s">
        <v>1796</v>
      </c>
      <c r="N558" s="2" t="s">
        <v>1797</v>
      </c>
      <c r="O558" s="2"/>
    </row>
    <row r="559" spans="1:16" ht="86.1">
      <c r="A559" s="3"/>
      <c r="B559" s="2" t="str">
        <f>TRIM(Table1[[#This Row],[Chat Name]])</f>
        <v/>
      </c>
      <c r="C559" s="2">
        <v>0</v>
      </c>
      <c r="D559" s="2">
        <v>0</v>
      </c>
      <c r="E559" s="2" t="s">
        <v>23</v>
      </c>
      <c r="F559" s="6" t="b">
        <v>1</v>
      </c>
      <c r="G559" s="6" t="b">
        <v>0</v>
      </c>
      <c r="H559" s="2" t="s">
        <v>39</v>
      </c>
      <c r="I559" s="2" t="b">
        <v>0</v>
      </c>
      <c r="J559" s="2" t="s">
        <v>18</v>
      </c>
      <c r="K559" s="2" t="s">
        <v>110</v>
      </c>
      <c r="L559" s="2" t="b">
        <v>0</v>
      </c>
      <c r="M559" s="2"/>
      <c r="N559" s="2" t="s">
        <v>1798</v>
      </c>
      <c r="O559" s="2" t="s">
        <v>1799</v>
      </c>
      <c r="P559" s="13" t="s">
        <v>1800</v>
      </c>
    </row>
    <row r="560" spans="1:16" ht="356.65">
      <c r="A560" s="3" t="s">
        <v>1801</v>
      </c>
      <c r="B560" s="2" t="str">
        <f>TRIM(Table1[[#This Row],[Chat Name]])</f>
        <v>Soul Cage</v>
      </c>
      <c r="C560" s="2">
        <v>8</v>
      </c>
      <c r="D560" s="2">
        <v>45</v>
      </c>
      <c r="E560" s="2" t="s">
        <v>96</v>
      </c>
      <c r="F560" s="6" t="b">
        <v>0</v>
      </c>
      <c r="G560" s="6" t="b">
        <v>1</v>
      </c>
      <c r="H560" s="2" t="s">
        <v>1802</v>
      </c>
      <c r="I560" s="2" t="b">
        <v>0</v>
      </c>
      <c r="J560" s="2" t="s">
        <v>40</v>
      </c>
      <c r="K560" s="2" t="s">
        <v>56</v>
      </c>
      <c r="L560" s="2" t="b">
        <v>0</v>
      </c>
      <c r="M560" s="2" t="s">
        <v>1803</v>
      </c>
      <c r="N560" s="2" t="s">
        <v>1804</v>
      </c>
      <c r="O560" s="2"/>
    </row>
    <row r="561" spans="1:16" ht="147.6">
      <c r="A561" s="3" t="s">
        <v>1805</v>
      </c>
      <c r="B561" s="2" t="str">
        <f>TRIM(Table1[[#This Row],[Chat Name]])</f>
        <v>Spacial Shift</v>
      </c>
      <c r="C561" s="2">
        <v>7</v>
      </c>
      <c r="D561" s="2">
        <v>36</v>
      </c>
      <c r="E561" s="2" t="s">
        <v>1313</v>
      </c>
      <c r="F561" s="7" t="b">
        <v>0</v>
      </c>
      <c r="G561" s="7" t="b">
        <v>1</v>
      </c>
      <c r="H561" s="2" t="s">
        <v>34</v>
      </c>
      <c r="I561" s="2" t="b">
        <v>1</v>
      </c>
      <c r="J561" s="2" t="s">
        <v>39</v>
      </c>
      <c r="K561" s="2" t="s">
        <v>64</v>
      </c>
      <c r="L561" s="2" t="b">
        <v>0</v>
      </c>
      <c r="M561" s="2"/>
      <c r="N561" s="2" t="s">
        <v>1806</v>
      </c>
      <c r="O561" s="2"/>
    </row>
    <row r="562" spans="1:16" ht="123">
      <c r="A562" s="3" t="s">
        <v>1807</v>
      </c>
      <c r="B562" s="2" t="str">
        <f>TRIM(Table1[[#This Row],[Chat Name]])</f>
        <v>Spare the Dying</v>
      </c>
      <c r="C562" s="2">
        <v>0</v>
      </c>
      <c r="D562" s="2">
        <v>0</v>
      </c>
      <c r="E562" s="2" t="s">
        <v>80</v>
      </c>
      <c r="F562" s="6" t="b">
        <v>1</v>
      </c>
      <c r="G562" s="6" t="b">
        <v>0</v>
      </c>
      <c r="H562" s="2" t="s">
        <v>34</v>
      </c>
      <c r="I562" s="2" t="b">
        <v>0</v>
      </c>
      <c r="J562" s="2" t="s">
        <v>19</v>
      </c>
      <c r="K562" s="2" t="s">
        <v>110</v>
      </c>
      <c r="L562" s="2" t="b">
        <v>0</v>
      </c>
      <c r="M562" s="2" t="s">
        <v>1808</v>
      </c>
      <c r="N562" s="2" t="s">
        <v>1809</v>
      </c>
      <c r="O562" s="2"/>
    </row>
    <row r="563" spans="1:16" ht="86.1">
      <c r="A563" s="3" t="s">
        <v>1810</v>
      </c>
      <c r="B563" s="2" t="str">
        <f>TRIM(Table1[[#This Row],[Chat Name]])</f>
        <v>Speak with Animals</v>
      </c>
      <c r="C563" s="2">
        <v>1</v>
      </c>
      <c r="D563" s="2">
        <v>3</v>
      </c>
      <c r="E563" s="2" t="s">
        <v>244</v>
      </c>
      <c r="F563" s="6" t="b">
        <v>1</v>
      </c>
      <c r="G563" s="6" t="b">
        <v>0</v>
      </c>
      <c r="H563" s="2" t="s">
        <v>34</v>
      </c>
      <c r="I563" s="2" t="b">
        <v>0</v>
      </c>
      <c r="J563" s="2" t="s">
        <v>18</v>
      </c>
      <c r="K563" s="2" t="s">
        <v>59</v>
      </c>
      <c r="L563" s="2" t="b">
        <v>1</v>
      </c>
      <c r="M563" s="2" t="s">
        <v>1811</v>
      </c>
      <c r="N563" s="2" t="s">
        <v>1812</v>
      </c>
      <c r="O563" s="2"/>
    </row>
    <row r="564" spans="1:16" ht="221.45">
      <c r="A564" s="3" t="s">
        <v>1813</v>
      </c>
      <c r="B564" s="2" t="str">
        <f>TRIM(Table1[[#This Row],[Chat Name]])</f>
        <v>Speak with Plants</v>
      </c>
      <c r="C564" s="2">
        <v>4</v>
      </c>
      <c r="D564" s="2">
        <v>15</v>
      </c>
      <c r="E564" s="2" t="s">
        <v>244</v>
      </c>
      <c r="F564" s="6" t="b">
        <v>1</v>
      </c>
      <c r="G564" s="6" t="b">
        <v>0</v>
      </c>
      <c r="H564" s="2" t="s">
        <v>34</v>
      </c>
      <c r="I564" s="2" t="b">
        <v>0</v>
      </c>
      <c r="J564" s="2" t="s">
        <v>18</v>
      </c>
      <c r="K564" s="2" t="s">
        <v>327</v>
      </c>
      <c r="L564" s="2" t="b">
        <v>0</v>
      </c>
      <c r="M564" s="2" t="s">
        <v>1814</v>
      </c>
      <c r="N564" s="2" t="s">
        <v>1815</v>
      </c>
      <c r="O564" s="2"/>
    </row>
    <row r="565" spans="1:16" ht="61.5">
      <c r="A565" s="3" t="s">
        <v>1816</v>
      </c>
      <c r="B565" s="2" t="str">
        <f>TRIM(Table1[[#This Row],[Chat Name]])</f>
        <v>Mage Armor</v>
      </c>
      <c r="C565" s="2">
        <v>1</v>
      </c>
      <c r="D565" s="2">
        <v>3</v>
      </c>
      <c r="E565" s="2" t="s">
        <v>30</v>
      </c>
      <c r="F565" s="6" t="b">
        <v>0</v>
      </c>
      <c r="G565" s="6" t="b">
        <v>1</v>
      </c>
      <c r="H565" s="2" t="s">
        <v>34</v>
      </c>
      <c r="I565" s="2" t="b">
        <v>0</v>
      </c>
      <c r="J565" s="2" t="s">
        <v>40</v>
      </c>
      <c r="K565" s="2" t="s">
        <v>110</v>
      </c>
      <c r="L565" s="2" t="b">
        <v>0</v>
      </c>
      <c r="M565" s="2" t="s">
        <v>1817</v>
      </c>
      <c r="N565" s="2" t="s">
        <v>1818</v>
      </c>
      <c r="O565" s="2"/>
    </row>
    <row r="566" spans="1:16" ht="49.15">
      <c r="A566" s="3" t="s">
        <v>1819</v>
      </c>
      <c r="B566" s="2" t="str">
        <f>TRIM(Table1[[#This Row],[Chat Name]])</f>
        <v>Spider Climb</v>
      </c>
      <c r="C566" s="2">
        <v>2</v>
      </c>
      <c r="D566" s="2">
        <v>6</v>
      </c>
      <c r="E566" s="2" t="s">
        <v>244</v>
      </c>
      <c r="F566" s="6" t="b">
        <v>1</v>
      </c>
      <c r="G566" s="6" t="b">
        <v>0</v>
      </c>
      <c r="H566" s="2" t="s">
        <v>34</v>
      </c>
      <c r="I566" s="2" t="b">
        <v>1</v>
      </c>
      <c r="J566" s="2" t="s">
        <v>245</v>
      </c>
      <c r="K566" s="2" t="s">
        <v>110</v>
      </c>
      <c r="L566" s="2" t="b">
        <v>0</v>
      </c>
      <c r="M566" s="2" t="s">
        <v>1820</v>
      </c>
      <c r="N566" s="2" t="s">
        <v>1821</v>
      </c>
      <c r="O566" s="2"/>
    </row>
    <row r="567" spans="1:16" ht="110.65">
      <c r="A567" s="3" t="s">
        <v>1822</v>
      </c>
      <c r="B567" s="2" t="str">
        <f>TRIM(Table1[[#This Row],[Chat Name]])</f>
        <v>Spike Growth</v>
      </c>
      <c r="C567" s="2">
        <v>2</v>
      </c>
      <c r="D567" s="2">
        <v>6</v>
      </c>
      <c r="E567" s="2" t="s">
        <v>244</v>
      </c>
      <c r="F567" s="6" t="b">
        <v>1</v>
      </c>
      <c r="G567" s="6" t="b">
        <v>0</v>
      </c>
      <c r="H567" s="2" t="s">
        <v>34</v>
      </c>
      <c r="I567" s="2" t="b">
        <v>1</v>
      </c>
      <c r="J567" s="2" t="s">
        <v>301</v>
      </c>
      <c r="K567" s="2" t="s">
        <v>460</v>
      </c>
      <c r="L567" s="2" t="b">
        <v>0</v>
      </c>
      <c r="M567" s="2" t="s">
        <v>1823</v>
      </c>
      <c r="N567" s="2" t="s">
        <v>1824</v>
      </c>
      <c r="O567" s="2"/>
    </row>
    <row r="568" spans="1:16" ht="135.4">
      <c r="A568" s="3" t="s">
        <v>1825</v>
      </c>
      <c r="B568" s="2" t="str">
        <f>TRIM(Table1[[#This Row],[Chat Name]])</f>
        <v>Spiritual Weapon</v>
      </c>
      <c r="C568" s="2">
        <v>2</v>
      </c>
      <c r="D568" s="2">
        <v>6</v>
      </c>
      <c r="E568" s="2" t="s">
        <v>23</v>
      </c>
      <c r="F568" s="6" t="b">
        <v>1</v>
      </c>
      <c r="G568" s="6" t="b">
        <v>0</v>
      </c>
      <c r="H568" s="2" t="s">
        <v>31</v>
      </c>
      <c r="I568" s="2" t="b">
        <v>0</v>
      </c>
      <c r="J568" s="2" t="s">
        <v>39</v>
      </c>
      <c r="K568" s="2" t="s">
        <v>56</v>
      </c>
      <c r="L568" s="2" t="b">
        <v>0</v>
      </c>
      <c r="M568" s="2" t="s">
        <v>1826</v>
      </c>
      <c r="N568" s="2" t="s">
        <v>1827</v>
      </c>
      <c r="O568" s="2" t="s">
        <v>1828</v>
      </c>
      <c r="P568" s="13" t="s">
        <v>1828</v>
      </c>
    </row>
    <row r="569" spans="1:16" ht="61.5">
      <c r="A569" s="3"/>
      <c r="B569" s="2" t="str">
        <f>TRIM(Table1[[#This Row],[Chat Name]])</f>
        <v/>
      </c>
      <c r="C569" s="2">
        <v>2</v>
      </c>
      <c r="D569" s="2">
        <v>6</v>
      </c>
      <c r="E569" s="2" t="s">
        <v>96</v>
      </c>
      <c r="F569" s="6" t="b">
        <v>0</v>
      </c>
      <c r="G569" s="6" t="b">
        <v>1</v>
      </c>
      <c r="H569" s="2" t="s">
        <v>34</v>
      </c>
      <c r="I569" s="2" t="b">
        <v>0</v>
      </c>
      <c r="J569" s="2" t="s">
        <v>19</v>
      </c>
      <c r="K569" s="2" t="s">
        <v>432</v>
      </c>
      <c r="L569" s="2" t="b">
        <v>0</v>
      </c>
      <c r="M569" s="2"/>
      <c r="N569" s="2" t="s">
        <v>1829</v>
      </c>
      <c r="O569" s="2" t="s">
        <v>1286</v>
      </c>
      <c r="P569" s="13" t="s">
        <v>1286</v>
      </c>
    </row>
    <row r="570" spans="1:16" ht="73.900000000000006">
      <c r="A570" s="3" t="s">
        <v>1830</v>
      </c>
      <c r="B570" s="2" t="str">
        <f>TRIM(Table1[[#This Row],[Chat Name]])</f>
        <v>Staggering Smite</v>
      </c>
      <c r="C570" s="2">
        <v>5</v>
      </c>
      <c r="D570" s="2">
        <v>21</v>
      </c>
      <c r="E570" s="2" t="s">
        <v>80</v>
      </c>
      <c r="F570" s="6" t="b">
        <v>1</v>
      </c>
      <c r="G570" s="6" t="b">
        <v>0</v>
      </c>
      <c r="H570" s="2" t="s">
        <v>31</v>
      </c>
      <c r="I570" s="2" t="b">
        <v>1</v>
      </c>
      <c r="J570" s="2" t="s">
        <v>272</v>
      </c>
      <c r="K570" s="2" t="s">
        <v>59</v>
      </c>
      <c r="L570" s="2" t="b">
        <v>0</v>
      </c>
      <c r="M570" s="2" t="s">
        <v>1831</v>
      </c>
      <c r="N570" s="2" t="s">
        <v>1832</v>
      </c>
      <c r="O570" s="2"/>
    </row>
    <row r="571" spans="1:16" ht="43.15">
      <c r="A571" s="3"/>
      <c r="B571" s="2" t="str">
        <f>TRIM(Table1[[#This Row],[Chat Name]])</f>
        <v/>
      </c>
      <c r="C571" s="2">
        <v>0</v>
      </c>
      <c r="D571" s="2">
        <v>0</v>
      </c>
      <c r="E571" s="2" t="s">
        <v>153</v>
      </c>
      <c r="F571" s="6" t="b">
        <v>1</v>
      </c>
      <c r="G571" s="6" t="b">
        <v>0</v>
      </c>
      <c r="H571" s="2" t="s">
        <v>34</v>
      </c>
      <c r="I571" s="2" t="b">
        <v>0</v>
      </c>
      <c r="J571" s="2" t="s">
        <v>19</v>
      </c>
      <c r="K571" s="2" t="s">
        <v>1833</v>
      </c>
      <c r="L571" s="2" t="b">
        <v>0</v>
      </c>
      <c r="M571" s="2"/>
      <c r="N571" s="2" t="s">
        <v>1834</v>
      </c>
      <c r="O571" s="2" t="s">
        <v>1835</v>
      </c>
      <c r="P571" s="13" t="s">
        <v>1835</v>
      </c>
    </row>
    <row r="572" spans="1:16" ht="49.15">
      <c r="A572" s="3"/>
      <c r="B572" s="2" t="str">
        <f>TRIM(Table1[[#This Row],[Chat Name]])</f>
        <v/>
      </c>
      <c r="C572" s="2">
        <v>0</v>
      </c>
      <c r="D572" s="2">
        <v>0</v>
      </c>
      <c r="E572" s="2" t="s">
        <v>30</v>
      </c>
      <c r="F572" s="6" t="b">
        <v>0</v>
      </c>
      <c r="G572" s="6" t="b">
        <v>1</v>
      </c>
      <c r="H572" s="2" t="s">
        <v>34</v>
      </c>
      <c r="I572" s="2" t="b">
        <v>0</v>
      </c>
      <c r="J572" s="2" t="s">
        <v>19</v>
      </c>
      <c r="K572" s="2" t="s">
        <v>52</v>
      </c>
      <c r="L572" s="2" t="b">
        <v>0</v>
      </c>
      <c r="M572" s="2"/>
      <c r="N572" s="2" t="s">
        <v>1836</v>
      </c>
      <c r="O572" s="2"/>
    </row>
    <row r="573" spans="1:16" ht="73.900000000000006">
      <c r="A573" s="3" t="s">
        <v>1837</v>
      </c>
      <c r="B573" s="2" t="str">
        <f>TRIM(Table1[[#This Row],[Chat Name]])</f>
        <v>Steel Wind Strike</v>
      </c>
      <c r="C573" s="2">
        <v>7</v>
      </c>
      <c r="D573" s="2">
        <v>36</v>
      </c>
      <c r="E573" s="2" t="s">
        <v>30</v>
      </c>
      <c r="F573" s="6" t="b">
        <v>0</v>
      </c>
      <c r="G573" s="6" t="b">
        <v>1</v>
      </c>
      <c r="H573" s="2" t="s">
        <v>34</v>
      </c>
      <c r="I573" s="2" t="b">
        <v>0</v>
      </c>
      <c r="J573" s="2" t="s">
        <v>19</v>
      </c>
      <c r="K573" s="2" t="s">
        <v>52</v>
      </c>
      <c r="L573" s="2" t="b">
        <v>0</v>
      </c>
      <c r="M573" s="2" t="s">
        <v>1838</v>
      </c>
      <c r="N573" s="2" t="s">
        <v>1839</v>
      </c>
      <c r="O573" s="2"/>
    </row>
    <row r="574" spans="1:16" ht="135.4">
      <c r="A574" s="3" t="s">
        <v>1840</v>
      </c>
      <c r="B574" s="2" t="str">
        <f>TRIM(Table1[[#This Row],[Chat Name]])</f>
        <v>Stinking Cloud</v>
      </c>
      <c r="C574" s="2">
        <v>3</v>
      </c>
      <c r="D574" s="2">
        <v>9</v>
      </c>
      <c r="E574" s="2" t="s">
        <v>96</v>
      </c>
      <c r="F574" s="6" t="b">
        <v>0</v>
      </c>
      <c r="G574" s="6" t="b">
        <v>1</v>
      </c>
      <c r="H574" s="2" t="s">
        <v>34</v>
      </c>
      <c r="I574" s="2" t="b">
        <v>1</v>
      </c>
      <c r="J574" s="2" t="s">
        <v>272</v>
      </c>
      <c r="K574" s="2" t="s">
        <v>64</v>
      </c>
      <c r="L574" s="2" t="b">
        <v>0</v>
      </c>
      <c r="M574" s="2" t="s">
        <v>1841</v>
      </c>
      <c r="N574" s="2" t="s">
        <v>1841</v>
      </c>
      <c r="O574" s="2"/>
    </row>
    <row r="575" spans="1:16" ht="73.900000000000006">
      <c r="A575" s="3"/>
      <c r="B575" s="2" t="str">
        <f>TRIM(Table1[[#This Row],[Chat Name]])</f>
        <v/>
      </c>
      <c r="C575" s="2">
        <v>0</v>
      </c>
      <c r="D575" s="2">
        <v>0</v>
      </c>
      <c r="E575" s="2" t="s">
        <v>244</v>
      </c>
      <c r="F575" s="6" t="b">
        <v>0</v>
      </c>
      <c r="G575" s="6" t="b">
        <v>1</v>
      </c>
      <c r="H575" s="2" t="s">
        <v>31</v>
      </c>
      <c r="I575" s="2" t="b">
        <v>0</v>
      </c>
      <c r="J575" s="2" t="s">
        <v>19</v>
      </c>
      <c r="K575" s="2" t="s">
        <v>59</v>
      </c>
      <c r="L575" s="2" t="b">
        <v>0</v>
      </c>
      <c r="M575" s="2"/>
      <c r="N575" s="2" t="s">
        <v>1842</v>
      </c>
      <c r="O575" s="2" t="s">
        <v>1436</v>
      </c>
      <c r="P575" s="13" t="s">
        <v>1436</v>
      </c>
    </row>
    <row r="576" spans="1:16" ht="98.45">
      <c r="A576" s="3" t="s">
        <v>1843</v>
      </c>
      <c r="B576" s="2" t="str">
        <f>TRIM(Table1[[#This Row],[Chat Name]])</f>
        <v>Stone Shape</v>
      </c>
      <c r="C576" s="2">
        <v>5</v>
      </c>
      <c r="D576" s="2">
        <v>21</v>
      </c>
      <c r="E576" s="2" t="s">
        <v>244</v>
      </c>
      <c r="F576" s="6" t="b">
        <v>1</v>
      </c>
      <c r="G576" s="6" t="b">
        <v>0</v>
      </c>
      <c r="H576" s="2" t="s">
        <v>34</v>
      </c>
      <c r="I576" s="2" t="b">
        <v>0</v>
      </c>
      <c r="J576" s="2" t="s">
        <v>19</v>
      </c>
      <c r="K576" s="2" t="s">
        <v>110</v>
      </c>
      <c r="L576" s="2" t="b">
        <v>0</v>
      </c>
      <c r="M576" s="2" t="s">
        <v>1844</v>
      </c>
      <c r="N576" s="2" t="s">
        <v>1844</v>
      </c>
      <c r="O576" s="2"/>
    </row>
    <row r="577" spans="1:16" ht="36.950000000000003">
      <c r="A577" s="3" t="s">
        <v>1845</v>
      </c>
      <c r="B577" s="2" t="str">
        <f>TRIM(Table1[[#This Row],[Chat Name]])</f>
        <v>Stoneskin</v>
      </c>
      <c r="C577" s="2">
        <v>5</v>
      </c>
      <c r="D577" s="2">
        <v>21</v>
      </c>
      <c r="E577" s="2" t="s">
        <v>153</v>
      </c>
      <c r="F577" s="6" t="b">
        <v>1</v>
      </c>
      <c r="G577" s="6" t="b">
        <v>0</v>
      </c>
      <c r="H577" s="2" t="s">
        <v>34</v>
      </c>
      <c r="I577" s="2" t="b">
        <v>1</v>
      </c>
      <c r="J577" s="2" t="s">
        <v>245</v>
      </c>
      <c r="K577" s="2" t="s">
        <v>110</v>
      </c>
      <c r="L577" s="2" t="b">
        <v>0</v>
      </c>
      <c r="M577" s="2" t="s">
        <v>1846</v>
      </c>
      <c r="N577" s="2" t="s">
        <v>1847</v>
      </c>
      <c r="O577" s="2"/>
    </row>
    <row r="578" spans="1:16" ht="319.89999999999998">
      <c r="A578" s="3" t="s">
        <v>1848</v>
      </c>
      <c r="B578" s="2" t="str">
        <f>TRIM(Table1[[#This Row],[Chat Name]])</f>
        <v>Storm of Vengeance</v>
      </c>
      <c r="C578" s="2">
        <v>12</v>
      </c>
      <c r="D578" s="2">
        <v>90</v>
      </c>
      <c r="E578" s="2" t="s">
        <v>244</v>
      </c>
      <c r="F578" s="6" t="b">
        <v>1</v>
      </c>
      <c r="G578" s="6" t="b">
        <v>0</v>
      </c>
      <c r="H578" s="2" t="s">
        <v>34</v>
      </c>
      <c r="I578" s="2" t="b">
        <v>1</v>
      </c>
      <c r="J578" s="2" t="s">
        <v>272</v>
      </c>
      <c r="K578" s="2" t="s">
        <v>1447</v>
      </c>
      <c r="L578" s="2" t="b">
        <v>0</v>
      </c>
      <c r="M578" s="2" t="s">
        <v>1849</v>
      </c>
      <c r="N578" s="2" t="s">
        <v>1850</v>
      </c>
      <c r="O578" s="2"/>
    </row>
    <row r="579" spans="1:16" ht="159.94999999999999">
      <c r="A579" s="3" t="s">
        <v>1851</v>
      </c>
      <c r="B579" s="2" t="str">
        <f>TRIM(Table1[[#This Row],[Chat Name]])</f>
        <v>Storm Sphere</v>
      </c>
      <c r="C579" s="2">
        <v>5</v>
      </c>
      <c r="D579" s="2">
        <v>21</v>
      </c>
      <c r="E579" s="2" t="s">
        <v>244</v>
      </c>
      <c r="F579" s="6" t="b">
        <v>1</v>
      </c>
      <c r="G579" s="6" t="b">
        <v>0</v>
      </c>
      <c r="H579" s="2" t="s">
        <v>34</v>
      </c>
      <c r="I579" s="2" t="b">
        <v>1</v>
      </c>
      <c r="J579" s="2" t="s">
        <v>272</v>
      </c>
      <c r="K579" s="2" t="s">
        <v>460</v>
      </c>
      <c r="L579" s="2" t="b">
        <v>0</v>
      </c>
      <c r="M579" s="2" t="s">
        <v>1852</v>
      </c>
      <c r="N579" s="2" t="s">
        <v>1853</v>
      </c>
      <c r="O579" s="2" t="s">
        <v>1854</v>
      </c>
      <c r="P579" s="13" t="s">
        <v>1854</v>
      </c>
    </row>
    <row r="580" spans="1:16" ht="36.950000000000003">
      <c r="A580" s="3"/>
      <c r="B580" s="2" t="str">
        <f>TRIM(Table1[[#This Row],[Chat Name]])</f>
        <v/>
      </c>
      <c r="C580" s="2">
        <v>1</v>
      </c>
      <c r="D580" s="2">
        <v>3</v>
      </c>
      <c r="E580" s="2" t="s">
        <v>244</v>
      </c>
      <c r="F580" s="6" t="b">
        <v>1</v>
      </c>
      <c r="G580" s="6" t="b">
        <v>0</v>
      </c>
      <c r="H580" s="2" t="s">
        <v>31</v>
      </c>
      <c r="I580" s="2" t="b">
        <v>0</v>
      </c>
      <c r="J580" s="2" t="s">
        <v>19</v>
      </c>
      <c r="K580" s="2" t="s">
        <v>132</v>
      </c>
      <c r="L580" s="2" t="b">
        <v>0</v>
      </c>
      <c r="M580" s="2"/>
      <c r="N580" s="2" t="s">
        <v>1855</v>
      </c>
      <c r="O580" s="2"/>
    </row>
    <row r="581" spans="1:16" ht="221.45">
      <c r="A581" s="3" t="s">
        <v>1856</v>
      </c>
      <c r="B581" s="2" t="str">
        <f>TRIM(Table1[[#This Row],[Chat Name]])</f>
        <v>Suggestion</v>
      </c>
      <c r="C581" s="2">
        <v>3</v>
      </c>
      <c r="D581" s="2">
        <v>9</v>
      </c>
      <c r="E581" s="2" t="s">
        <v>73</v>
      </c>
      <c r="F581" s="6" t="b">
        <v>0</v>
      </c>
      <c r="G581" s="6" t="b">
        <v>1</v>
      </c>
      <c r="H581" s="2" t="s">
        <v>34</v>
      </c>
      <c r="I581" s="2" t="b">
        <v>1</v>
      </c>
      <c r="J581" s="2" t="s">
        <v>588</v>
      </c>
      <c r="K581" s="2" t="s">
        <v>52</v>
      </c>
      <c r="L581" s="2" t="b">
        <v>0</v>
      </c>
      <c r="M581" s="2" t="s">
        <v>1857</v>
      </c>
      <c r="N581" s="2" t="s">
        <v>1858</v>
      </c>
      <c r="O581" s="2"/>
    </row>
    <row r="582" spans="1:16" ht="147.6">
      <c r="A582" s="3" t="s">
        <v>1859</v>
      </c>
      <c r="B582" s="2" t="str">
        <f>TRIM(Table1[[#This Row],[Chat Name]])</f>
        <v>Summon Aberration</v>
      </c>
      <c r="C582" s="2">
        <v>6</v>
      </c>
      <c r="D582" s="2">
        <v>27</v>
      </c>
      <c r="E582" s="2" t="s">
        <v>96</v>
      </c>
      <c r="F582" s="6" t="b">
        <v>0</v>
      </c>
      <c r="G582" s="6" t="b">
        <v>1</v>
      </c>
      <c r="H582" s="2" t="s">
        <v>34</v>
      </c>
      <c r="I582" s="2" t="b">
        <v>1</v>
      </c>
      <c r="J582" s="2" t="s">
        <v>245</v>
      </c>
      <c r="K582" s="2" t="s">
        <v>64</v>
      </c>
      <c r="L582" s="2" t="b">
        <v>0</v>
      </c>
      <c r="M582" s="2" t="s">
        <v>1860</v>
      </c>
      <c r="N582" s="2" t="s">
        <v>1861</v>
      </c>
      <c r="O582" s="2" t="s">
        <v>1862</v>
      </c>
      <c r="P582" s="13" t="s">
        <v>1862</v>
      </c>
    </row>
    <row r="583" spans="1:16" ht="147.6">
      <c r="A583" s="3" t="s">
        <v>1863</v>
      </c>
      <c r="B583" s="2" t="str">
        <f>TRIM(Table1[[#This Row],[Chat Name]])</f>
        <v>Summon Beast</v>
      </c>
      <c r="C583" s="2">
        <v>6</v>
      </c>
      <c r="D583" s="2">
        <v>27</v>
      </c>
      <c r="E583" s="2" t="s">
        <v>244</v>
      </c>
      <c r="F583" s="6" t="b">
        <v>1</v>
      </c>
      <c r="G583" s="6" t="b">
        <v>0</v>
      </c>
      <c r="H583" s="2" t="s">
        <v>34</v>
      </c>
      <c r="I583" s="2" t="b">
        <v>1</v>
      </c>
      <c r="J583" s="2" t="s">
        <v>245</v>
      </c>
      <c r="K583" s="2" t="s">
        <v>64</v>
      </c>
      <c r="L583" s="2" t="b">
        <v>0</v>
      </c>
      <c r="M583" s="2" t="s">
        <v>1864</v>
      </c>
      <c r="N583" s="2" t="s">
        <v>1865</v>
      </c>
      <c r="O583" s="2" t="s">
        <v>1866</v>
      </c>
      <c r="P583" s="13" t="s">
        <v>1866</v>
      </c>
    </row>
    <row r="584" spans="1:16" ht="135.4">
      <c r="A584" s="3" t="s">
        <v>1867</v>
      </c>
      <c r="B584" s="2" t="str">
        <f>TRIM(Table1[[#This Row],[Chat Name]])</f>
        <v>Summon Celestial</v>
      </c>
      <c r="C584" s="2">
        <v>7</v>
      </c>
      <c r="D584" s="2">
        <v>36</v>
      </c>
      <c r="E584" s="2" t="s">
        <v>23</v>
      </c>
      <c r="F584" s="6" t="b">
        <v>1</v>
      </c>
      <c r="G584" s="6" t="b">
        <v>0</v>
      </c>
      <c r="H584" s="2" t="s">
        <v>34</v>
      </c>
      <c r="I584" s="2" t="b">
        <v>1</v>
      </c>
      <c r="J584" s="2" t="s">
        <v>245</v>
      </c>
      <c r="K584" s="2" t="s">
        <v>64</v>
      </c>
      <c r="L584" s="2" t="b">
        <v>0</v>
      </c>
      <c r="M584" s="2" t="s">
        <v>1868</v>
      </c>
      <c r="N584" s="2" t="s">
        <v>1869</v>
      </c>
      <c r="O584" s="2" t="s">
        <v>1870</v>
      </c>
      <c r="P584" s="13" t="s">
        <v>1870</v>
      </c>
    </row>
    <row r="585" spans="1:16" ht="159.94999999999999">
      <c r="A585" s="3" t="s">
        <v>1871</v>
      </c>
      <c r="B585" s="2" t="str">
        <f>TRIM(Table1[[#This Row],[Chat Name]])</f>
        <v>Summon Construct</v>
      </c>
      <c r="C585" s="2">
        <v>6</v>
      </c>
      <c r="D585" s="2">
        <v>27</v>
      </c>
      <c r="E585" s="2" t="s">
        <v>96</v>
      </c>
      <c r="F585" s="6" t="b">
        <v>0</v>
      </c>
      <c r="G585" s="6" t="b">
        <v>1</v>
      </c>
      <c r="H585" s="2" t="s">
        <v>34</v>
      </c>
      <c r="I585" s="2" t="b">
        <v>1</v>
      </c>
      <c r="J585" s="2" t="s">
        <v>245</v>
      </c>
      <c r="K585" s="2" t="s">
        <v>64</v>
      </c>
      <c r="L585" s="2" t="b">
        <v>0</v>
      </c>
      <c r="M585" s="2" t="s">
        <v>1872</v>
      </c>
      <c r="N585" s="2" t="s">
        <v>1873</v>
      </c>
      <c r="O585" s="2" t="s">
        <v>1874</v>
      </c>
      <c r="P585" s="13" t="s">
        <v>1874</v>
      </c>
    </row>
    <row r="586" spans="1:16" ht="147.6">
      <c r="A586" s="3" t="s">
        <v>1875</v>
      </c>
      <c r="B586" s="2" t="str">
        <f>TRIM(Table1[[#This Row],[Chat Name]])</f>
        <v>Summon Fey</v>
      </c>
      <c r="C586" s="2">
        <v>5</v>
      </c>
      <c r="D586" s="2">
        <v>21</v>
      </c>
      <c r="E586" s="2" t="s">
        <v>244</v>
      </c>
      <c r="F586" s="6" t="b">
        <v>1</v>
      </c>
      <c r="G586" s="6" t="b">
        <v>0</v>
      </c>
      <c r="H586" s="2" t="s">
        <v>34</v>
      </c>
      <c r="I586" s="2" t="b">
        <v>1</v>
      </c>
      <c r="J586" s="2" t="s">
        <v>245</v>
      </c>
      <c r="K586" s="2" t="s">
        <v>64</v>
      </c>
      <c r="L586" s="2" t="b">
        <v>0</v>
      </c>
      <c r="M586" s="2" t="s">
        <v>1876</v>
      </c>
      <c r="N586" s="2" t="s">
        <v>1877</v>
      </c>
      <c r="O586" s="2" t="s">
        <v>1874</v>
      </c>
      <c r="P586" s="13" t="s">
        <v>1874</v>
      </c>
    </row>
    <row r="587" spans="1:16" ht="147.6">
      <c r="A587" s="3" t="s">
        <v>1878</v>
      </c>
      <c r="B587" s="2" t="str">
        <f>TRIM(Table1[[#This Row],[Chat Name]])</f>
        <v>Summon Draconic Spirit</v>
      </c>
      <c r="C587" s="2">
        <v>6</v>
      </c>
      <c r="D587" s="2">
        <v>27</v>
      </c>
      <c r="E587" s="2" t="s">
        <v>244</v>
      </c>
      <c r="F587" s="6" t="b">
        <v>1</v>
      </c>
      <c r="G587" s="6" t="b">
        <v>0</v>
      </c>
      <c r="H587" s="2" t="s">
        <v>34</v>
      </c>
      <c r="I587" s="2" t="b">
        <v>1</v>
      </c>
      <c r="J587" s="2" t="s">
        <v>245</v>
      </c>
      <c r="K587" s="2" t="s">
        <v>56</v>
      </c>
      <c r="L587" s="2" t="b">
        <v>0</v>
      </c>
      <c r="M587" s="2" t="s">
        <v>1879</v>
      </c>
      <c r="N587" s="2" t="s">
        <v>1880</v>
      </c>
      <c r="O587" s="2" t="s">
        <v>1881</v>
      </c>
      <c r="P587" s="13" t="s">
        <v>1882</v>
      </c>
    </row>
    <row r="588" spans="1:16" ht="147.6">
      <c r="A588" s="3" t="s">
        <v>1883</v>
      </c>
      <c r="B588" s="2" t="str">
        <f>TRIM(Table1[[#This Row],[Chat Name]])</f>
        <v>Summon Elemental</v>
      </c>
      <c r="C588" s="2">
        <v>6</v>
      </c>
      <c r="D588" s="2">
        <v>27</v>
      </c>
      <c r="E588" s="2" t="s">
        <v>153</v>
      </c>
      <c r="F588" s="6" t="b">
        <v>1</v>
      </c>
      <c r="G588" s="6" t="b">
        <v>0</v>
      </c>
      <c r="H588" s="2" t="s">
        <v>34</v>
      </c>
      <c r="I588" s="2" t="b">
        <v>1</v>
      </c>
      <c r="J588" s="2" t="s">
        <v>245</v>
      </c>
      <c r="K588" s="2" t="s">
        <v>64</v>
      </c>
      <c r="L588" s="2" t="b">
        <v>0</v>
      </c>
      <c r="M588" s="2" t="s">
        <v>1884</v>
      </c>
      <c r="N588" s="2" t="s">
        <v>1885</v>
      </c>
      <c r="O588" s="2" t="s">
        <v>1862</v>
      </c>
      <c r="P588" s="13" t="s">
        <v>1862</v>
      </c>
    </row>
    <row r="589" spans="1:16" ht="147.6">
      <c r="A589" s="3" t="s">
        <v>1886</v>
      </c>
      <c r="B589" s="2" t="str">
        <f>TRIM(Table1[[#This Row],[Chat Name]])</f>
        <v>Summon Shadowspawn</v>
      </c>
      <c r="C589" s="2">
        <v>5</v>
      </c>
      <c r="D589" s="2">
        <v>21</v>
      </c>
      <c r="E589" s="2" t="s">
        <v>23</v>
      </c>
      <c r="F589" s="6" t="b">
        <v>1</v>
      </c>
      <c r="G589" s="6" t="b">
        <v>0</v>
      </c>
      <c r="H589" s="2" t="s">
        <v>34</v>
      </c>
      <c r="I589" s="2" t="b">
        <v>1</v>
      </c>
      <c r="J589" s="2" t="s">
        <v>245</v>
      </c>
      <c r="K589" s="2" t="s">
        <v>64</v>
      </c>
      <c r="L589" s="2" t="b">
        <v>0</v>
      </c>
      <c r="M589" s="2" t="s">
        <v>1887</v>
      </c>
      <c r="N589" s="2" t="s">
        <v>1888</v>
      </c>
      <c r="O589" s="2" t="s">
        <v>1874</v>
      </c>
      <c r="P589" s="13" t="s">
        <v>1874</v>
      </c>
    </row>
    <row r="590" spans="1:16" ht="147.6">
      <c r="A590" s="3" t="s">
        <v>1889</v>
      </c>
      <c r="B590" s="2" t="str">
        <f>TRIM(Table1[[#This Row],[Chat Name]])</f>
        <v>Summon Undead</v>
      </c>
      <c r="C590" s="2">
        <v>5</v>
      </c>
      <c r="D590" s="2">
        <v>21</v>
      </c>
      <c r="E590" s="2" t="s">
        <v>17</v>
      </c>
      <c r="F590" s="6" t="b">
        <v>0</v>
      </c>
      <c r="G590" s="6" t="b">
        <v>1</v>
      </c>
      <c r="H590" s="2" t="s">
        <v>34</v>
      </c>
      <c r="I590" s="2" t="b">
        <v>1</v>
      </c>
      <c r="J590" s="2" t="s">
        <v>245</v>
      </c>
      <c r="K590" s="2" t="s">
        <v>64</v>
      </c>
      <c r="L590" s="2" t="b">
        <v>0</v>
      </c>
      <c r="M590" s="2" t="s">
        <v>1890</v>
      </c>
      <c r="N590" s="2" t="s">
        <v>1891</v>
      </c>
      <c r="O590" s="2" t="s">
        <v>1874</v>
      </c>
      <c r="P590" s="13" t="s">
        <v>1874</v>
      </c>
    </row>
    <row r="591" spans="1:16" ht="135.4">
      <c r="A591" s="3" t="s">
        <v>1892</v>
      </c>
      <c r="B591" s="2" t="str">
        <f>TRIM(Table1[[#This Row],[Chat Name]])</f>
        <v>Sunbeam</v>
      </c>
      <c r="C591" s="2">
        <v>8</v>
      </c>
      <c r="D591" s="2">
        <v>45</v>
      </c>
      <c r="E591" s="2" t="s">
        <v>23</v>
      </c>
      <c r="F591" s="6" t="b">
        <v>1</v>
      </c>
      <c r="G591" s="6" t="b">
        <v>0</v>
      </c>
      <c r="H591" s="2" t="s">
        <v>34</v>
      </c>
      <c r="I591" s="2" t="b">
        <v>1</v>
      </c>
      <c r="J591" s="2" t="s">
        <v>272</v>
      </c>
      <c r="K591" s="2" t="s">
        <v>1116</v>
      </c>
      <c r="L591" s="2" t="b">
        <v>0</v>
      </c>
      <c r="M591" s="2" t="s">
        <v>1893</v>
      </c>
      <c r="N591" s="2" t="s">
        <v>1894</v>
      </c>
      <c r="O591" s="2"/>
    </row>
    <row r="592" spans="1:16" ht="123">
      <c r="A592" s="3" t="s">
        <v>1895</v>
      </c>
      <c r="B592" s="2" t="str">
        <f>TRIM(Table1[[#This Row],[Chat Name]])</f>
        <v>Sunburst</v>
      </c>
      <c r="C592" s="2">
        <v>10</v>
      </c>
      <c r="D592" s="2">
        <v>66</v>
      </c>
      <c r="E592" s="2" t="s">
        <v>23</v>
      </c>
      <c r="F592" s="6" t="b">
        <v>1</v>
      </c>
      <c r="G592" s="6" t="b">
        <v>0</v>
      </c>
      <c r="H592" s="2" t="s">
        <v>34</v>
      </c>
      <c r="I592" s="2" t="b">
        <v>0</v>
      </c>
      <c r="J592" s="2" t="s">
        <v>19</v>
      </c>
      <c r="K592" s="2" t="s">
        <v>460</v>
      </c>
      <c r="L592" s="2" t="b">
        <v>0</v>
      </c>
      <c r="M592" s="2" t="s">
        <v>1896</v>
      </c>
      <c r="N592" s="2" t="s">
        <v>1897</v>
      </c>
      <c r="O592" s="2"/>
    </row>
    <row r="593" spans="1:16" ht="98.45">
      <c r="A593" s="3" t="s">
        <v>1898</v>
      </c>
      <c r="B593" s="2" t="str">
        <f>TRIM(Table1[[#This Row],[Chat Name]])</f>
        <v>Sunscorch</v>
      </c>
      <c r="C593" s="2">
        <v>2</v>
      </c>
      <c r="D593" s="2">
        <v>6</v>
      </c>
      <c r="E593" s="2" t="s">
        <v>80</v>
      </c>
      <c r="F593" s="7" t="b">
        <v>1</v>
      </c>
      <c r="G593" s="7" t="b">
        <v>0</v>
      </c>
      <c r="H593" s="2" t="s">
        <v>34</v>
      </c>
      <c r="I593" s="2" t="b">
        <v>0</v>
      </c>
      <c r="J593" s="2" t="s">
        <v>19</v>
      </c>
      <c r="K593" s="2" t="s">
        <v>56</v>
      </c>
      <c r="L593" s="2" t="b">
        <v>0</v>
      </c>
      <c r="M593" s="2"/>
      <c r="N593" s="2" t="s">
        <v>1899</v>
      </c>
      <c r="O593" s="2" t="s">
        <v>1900</v>
      </c>
      <c r="P593" s="13" t="s">
        <v>1900</v>
      </c>
    </row>
    <row r="594" spans="1:16" ht="123">
      <c r="A594" s="3" t="s">
        <v>1901</v>
      </c>
      <c r="B594" s="2" t="str">
        <f>TRIM(Table1[[#This Row],[Chat Name]])</f>
        <v>Swift Quiver</v>
      </c>
      <c r="C594" s="2">
        <v>6</v>
      </c>
      <c r="D594" s="2">
        <v>27</v>
      </c>
      <c r="E594" s="2" t="s">
        <v>244</v>
      </c>
      <c r="F594" s="6" t="b">
        <v>1</v>
      </c>
      <c r="G594" s="6" t="b">
        <v>0</v>
      </c>
      <c r="H594" s="2" t="s">
        <v>31</v>
      </c>
      <c r="I594" s="2" t="b">
        <v>1</v>
      </c>
      <c r="J594" s="2" t="s">
        <v>272</v>
      </c>
      <c r="K594" s="2" t="s">
        <v>110</v>
      </c>
      <c r="L594" s="2" t="b">
        <v>0</v>
      </c>
      <c r="M594" s="2" t="s">
        <v>1902</v>
      </c>
      <c r="N594" s="2" t="s">
        <v>1903</v>
      </c>
      <c r="O594" s="2"/>
    </row>
    <row r="595" spans="1:16" ht="135.4">
      <c r="A595" s="3" t="s">
        <v>1904</v>
      </c>
      <c r="B595" s="2" t="str">
        <f>TRIM(Table1[[#This Row],[Chat Name]])</f>
        <v>Switcheroo</v>
      </c>
      <c r="C595" s="2">
        <v>3</v>
      </c>
      <c r="D595" s="2">
        <v>9</v>
      </c>
      <c r="E595" s="2" t="s">
        <v>80</v>
      </c>
      <c r="F595" s="7" t="b">
        <v>1</v>
      </c>
      <c r="G595" s="7" t="b">
        <v>0</v>
      </c>
      <c r="H595" s="2" t="s">
        <v>34</v>
      </c>
      <c r="I595" s="2" t="b">
        <v>0</v>
      </c>
      <c r="J595" s="2" t="s">
        <v>19</v>
      </c>
      <c r="K595" s="2" t="s">
        <v>64</v>
      </c>
      <c r="L595" s="2" t="b">
        <v>0</v>
      </c>
      <c r="M595" s="2"/>
      <c r="N595" s="11" t="s">
        <v>1905</v>
      </c>
      <c r="O595" s="2" t="s">
        <v>1906</v>
      </c>
      <c r="P595" s="13" t="s">
        <v>1906</v>
      </c>
    </row>
    <row r="596" spans="1:16" ht="61.5">
      <c r="A596" s="3" t="s">
        <v>1907</v>
      </c>
      <c r="B596" s="2" t="str">
        <f>TRIM(Table1[[#This Row],[Chat Name]])</f>
        <v>Sword Burst</v>
      </c>
      <c r="C596" s="2">
        <v>0</v>
      </c>
      <c r="D596" s="2">
        <v>0</v>
      </c>
      <c r="E596" s="2" t="s">
        <v>96</v>
      </c>
      <c r="F596" s="6" t="b">
        <v>0</v>
      </c>
      <c r="G596" s="6" t="b">
        <v>1</v>
      </c>
      <c r="H596" s="2" t="s">
        <v>34</v>
      </c>
      <c r="I596" s="2" t="b">
        <v>0</v>
      </c>
      <c r="J596" s="2" t="s">
        <v>19</v>
      </c>
      <c r="K596" s="2" t="s">
        <v>415</v>
      </c>
      <c r="L596" s="2" t="b">
        <v>0</v>
      </c>
      <c r="M596" s="2" t="s">
        <v>1908</v>
      </c>
      <c r="N596" s="2" t="s">
        <v>1909</v>
      </c>
      <c r="O596" s="2"/>
    </row>
    <row r="597" spans="1:16" ht="409.5">
      <c r="A597" s="3" t="s">
        <v>1910</v>
      </c>
      <c r="B597" s="2" t="str">
        <f>TRIM(Table1[[#This Row],[Chat Name]])</f>
        <v>Symbol</v>
      </c>
      <c r="C597" s="2">
        <v>10</v>
      </c>
      <c r="D597" s="2">
        <v>66</v>
      </c>
      <c r="E597" s="2" t="s">
        <v>30</v>
      </c>
      <c r="F597" s="6" t="b">
        <v>0</v>
      </c>
      <c r="G597" s="6" t="b">
        <v>1</v>
      </c>
      <c r="H597" s="2" t="s">
        <v>39</v>
      </c>
      <c r="I597" s="2" t="b">
        <v>0</v>
      </c>
      <c r="J597" s="2" t="s">
        <v>1061</v>
      </c>
      <c r="K597" s="2" t="s">
        <v>110</v>
      </c>
      <c r="L597" s="2" t="b">
        <v>0</v>
      </c>
      <c r="M597" s="2" t="s">
        <v>1911</v>
      </c>
      <c r="N597" s="2" t="s">
        <v>1912</v>
      </c>
      <c r="O597" s="2"/>
    </row>
    <row r="598" spans="1:16" ht="147.6">
      <c r="A598" s="3" t="s">
        <v>1913</v>
      </c>
      <c r="B598" s="2" t="str">
        <f>TRIM(Table1[[#This Row],[Chat Name]])</f>
        <v>Synaptic Static</v>
      </c>
      <c r="C598" s="2">
        <v>6</v>
      </c>
      <c r="D598" s="2">
        <v>27</v>
      </c>
      <c r="E598" s="2" t="s">
        <v>73</v>
      </c>
      <c r="F598" s="6" t="b">
        <v>0</v>
      </c>
      <c r="G598" s="6" t="b">
        <v>1</v>
      </c>
      <c r="H598" s="2" t="s">
        <v>34</v>
      </c>
      <c r="I598" s="2" t="b">
        <v>0</v>
      </c>
      <c r="J598" s="2" t="s">
        <v>19</v>
      </c>
      <c r="K598" s="2" t="s">
        <v>160</v>
      </c>
      <c r="L598" s="2" t="b">
        <v>0</v>
      </c>
      <c r="M598" s="2" t="s">
        <v>1914</v>
      </c>
      <c r="N598" s="2" t="s">
        <v>1915</v>
      </c>
      <c r="O598" s="2"/>
    </row>
    <row r="599" spans="1:16" ht="344.45">
      <c r="A599" s="3" t="s">
        <v>1916</v>
      </c>
      <c r="B599" s="2" t="str">
        <f>TRIM(Table1[[#This Row],[Chat Name]])</f>
        <v>Telekinesis</v>
      </c>
      <c r="C599" s="2">
        <v>6</v>
      </c>
      <c r="D599" s="2">
        <v>27</v>
      </c>
      <c r="E599" s="2" t="s">
        <v>73</v>
      </c>
      <c r="F599" s="6" t="b">
        <v>0</v>
      </c>
      <c r="G599" s="6" t="b">
        <v>1</v>
      </c>
      <c r="H599" s="2" t="s">
        <v>34</v>
      </c>
      <c r="I599" s="2" t="b">
        <v>1</v>
      </c>
      <c r="J599" s="2" t="s">
        <v>301</v>
      </c>
      <c r="K599" s="2" t="s">
        <v>56</v>
      </c>
      <c r="L599" s="2" t="b">
        <v>0</v>
      </c>
      <c r="M599" s="2" t="s">
        <v>1917</v>
      </c>
      <c r="N599" s="2" t="s">
        <v>1918</v>
      </c>
      <c r="O599" s="2"/>
    </row>
    <row r="600" spans="1:16" ht="135.4">
      <c r="A600" s="3" t="s">
        <v>1919</v>
      </c>
      <c r="B600" s="2" t="str">
        <f>TRIM(Table1[[#This Row],[Chat Name]])</f>
        <v>Telepathy</v>
      </c>
      <c r="C600" s="2">
        <v>10</v>
      </c>
      <c r="D600" s="2">
        <v>66</v>
      </c>
      <c r="E600" s="2" t="s">
        <v>73</v>
      </c>
      <c r="F600" s="6" t="b">
        <v>0</v>
      </c>
      <c r="G600" s="6" t="b">
        <v>1</v>
      </c>
      <c r="H600" s="2" t="s">
        <v>34</v>
      </c>
      <c r="I600" s="2" t="b">
        <v>0</v>
      </c>
      <c r="J600" s="2" t="s">
        <v>232</v>
      </c>
      <c r="K600" s="2" t="s">
        <v>1722</v>
      </c>
      <c r="L600" s="2" t="b">
        <v>0</v>
      </c>
      <c r="M600" s="2" t="s">
        <v>1920</v>
      </c>
      <c r="N600" s="2" t="s">
        <v>1921</v>
      </c>
      <c r="O600" s="2"/>
    </row>
    <row r="601" spans="1:16" ht="409.5">
      <c r="A601" s="3" t="s">
        <v>1922</v>
      </c>
      <c r="B601" s="2" t="str">
        <f>TRIM(Table1[[#This Row],[Chat Name]])</f>
        <v>Teleport</v>
      </c>
      <c r="C601" s="2">
        <v>9</v>
      </c>
      <c r="D601" s="2">
        <v>54</v>
      </c>
      <c r="E601" s="2" t="s">
        <v>30</v>
      </c>
      <c r="F601" s="6" t="b">
        <v>0</v>
      </c>
      <c r="G601" s="6" t="b">
        <v>1</v>
      </c>
      <c r="H601" s="2" t="s">
        <v>34</v>
      </c>
      <c r="I601" s="2" t="b">
        <v>0</v>
      </c>
      <c r="J601" s="2" t="s">
        <v>19</v>
      </c>
      <c r="K601" s="2" t="s">
        <v>132</v>
      </c>
      <c r="L601" s="2" t="b">
        <v>0</v>
      </c>
      <c r="M601" s="2" t="s">
        <v>1923</v>
      </c>
      <c r="N601" s="2" t="s">
        <v>1924</v>
      </c>
      <c r="O601" s="2"/>
    </row>
    <row r="602" spans="1:16" ht="258.39999999999998">
      <c r="A602" s="3" t="s">
        <v>1925</v>
      </c>
      <c r="B602" s="2" t="str">
        <f>TRIM(Table1[[#This Row],[Chat Name]])</f>
        <v>Teleportation Circle</v>
      </c>
      <c r="C602" s="2">
        <v>6</v>
      </c>
      <c r="D602" s="2">
        <v>27</v>
      </c>
      <c r="E602" s="2" t="s">
        <v>30</v>
      </c>
      <c r="F602" s="6" t="b">
        <v>0</v>
      </c>
      <c r="G602" s="6" t="b">
        <v>1</v>
      </c>
      <c r="H602" s="2" t="s">
        <v>39</v>
      </c>
      <c r="I602" s="2" t="b">
        <v>0</v>
      </c>
      <c r="J602" s="2" t="s">
        <v>144</v>
      </c>
      <c r="K602" s="2" t="s">
        <v>132</v>
      </c>
      <c r="L602" s="2" t="b">
        <v>0</v>
      </c>
      <c r="M602" s="2" t="s">
        <v>1926</v>
      </c>
      <c r="N602" s="2" t="s">
        <v>1927</v>
      </c>
      <c r="O602" s="2"/>
    </row>
    <row r="603" spans="1:16" ht="409.5">
      <c r="A603" s="3" t="s">
        <v>1928</v>
      </c>
      <c r="B603" s="2" t="str">
        <f>TRIM(Table1[[#This Row],[Chat Name]])</f>
        <v>Temple of the Gods</v>
      </c>
      <c r="C603" s="2">
        <v>9</v>
      </c>
      <c r="D603" s="2">
        <v>54</v>
      </c>
      <c r="E603" s="2" t="s">
        <v>80</v>
      </c>
      <c r="F603" s="6" t="b">
        <v>1</v>
      </c>
      <c r="G603" s="6" t="b">
        <v>0</v>
      </c>
      <c r="H603" s="2" t="s">
        <v>35</v>
      </c>
      <c r="I603" s="2" t="b">
        <v>0</v>
      </c>
      <c r="J603" s="2" t="s">
        <v>232</v>
      </c>
      <c r="K603" s="2" t="s">
        <v>160</v>
      </c>
      <c r="L603" s="2" t="b">
        <v>0</v>
      </c>
      <c r="M603" s="2" t="s">
        <v>1929</v>
      </c>
      <c r="N603" s="2" t="s">
        <v>1930</v>
      </c>
      <c r="O603" s="2"/>
    </row>
    <row r="604" spans="1:16" ht="73.900000000000006">
      <c r="A604" s="3" t="s">
        <v>1931</v>
      </c>
      <c r="B604" s="2" t="str">
        <f>TRIM(Table1[[#This Row],[Chat Name]])</f>
        <v>Temporal Shunt</v>
      </c>
      <c r="C604" s="2">
        <v>6</v>
      </c>
      <c r="D604" s="2">
        <v>27</v>
      </c>
      <c r="E604" s="2" t="s">
        <v>30</v>
      </c>
      <c r="F604" s="6" t="b">
        <v>0</v>
      </c>
      <c r="G604" s="6" t="b">
        <v>1</v>
      </c>
      <c r="H604" s="2" t="s">
        <v>1932</v>
      </c>
      <c r="I604" s="2" t="b">
        <v>0</v>
      </c>
      <c r="J604" s="2" t="s">
        <v>144</v>
      </c>
      <c r="K604" s="2" t="s">
        <v>160</v>
      </c>
      <c r="L604" s="2" t="b">
        <v>0</v>
      </c>
      <c r="M604" s="2" t="s">
        <v>1933</v>
      </c>
      <c r="N604" s="2" t="s">
        <v>1934</v>
      </c>
      <c r="O604" s="2" t="s">
        <v>1935</v>
      </c>
      <c r="P604" s="13" t="s">
        <v>1935</v>
      </c>
    </row>
    <row r="605" spans="1:16" ht="135.4">
      <c r="A605" s="3" t="s">
        <v>1936</v>
      </c>
      <c r="B605" s="2" t="str">
        <f>TRIM(Table1[[#This Row],[Chat Name]])</f>
        <v>Tether Essence</v>
      </c>
      <c r="C605" s="2">
        <v>9</v>
      </c>
      <c r="D605" s="2">
        <v>54</v>
      </c>
      <c r="E605" s="2" t="s">
        <v>23</v>
      </c>
      <c r="F605" s="6" t="b">
        <v>1</v>
      </c>
      <c r="G605" s="6" t="b">
        <v>0</v>
      </c>
      <c r="H605" s="2" t="s">
        <v>34</v>
      </c>
      <c r="I605" s="2" t="b">
        <v>1</v>
      </c>
      <c r="J605" s="2" t="s">
        <v>245</v>
      </c>
      <c r="K605" s="2" t="s">
        <v>56</v>
      </c>
      <c r="L605" s="2" t="b">
        <v>0</v>
      </c>
      <c r="M605" s="2" t="s">
        <v>1937</v>
      </c>
      <c r="N605" s="2" t="s">
        <v>1938</v>
      </c>
      <c r="O605" s="2"/>
    </row>
    <row r="606" spans="1:16" ht="159.94999999999999">
      <c r="A606" s="3" t="s">
        <v>1939</v>
      </c>
      <c r="B606" s="2" t="str">
        <f>TRIM(Table1[[#This Row],[Chat Name]])</f>
        <v>Thaumaturgy</v>
      </c>
      <c r="C606" s="2">
        <v>0</v>
      </c>
      <c r="D606" s="2">
        <v>0</v>
      </c>
      <c r="E606" s="2" t="s">
        <v>17</v>
      </c>
      <c r="F606" s="6" t="b">
        <v>0</v>
      </c>
      <c r="G606" s="6" t="b">
        <v>1</v>
      </c>
      <c r="H606" s="2" t="s">
        <v>34</v>
      </c>
      <c r="I606" s="2" t="b">
        <v>0</v>
      </c>
      <c r="J606" s="2" t="s">
        <v>272</v>
      </c>
      <c r="K606" s="2" t="s">
        <v>52</v>
      </c>
      <c r="L606" s="2" t="b">
        <v>0</v>
      </c>
      <c r="M606" s="2" t="s">
        <v>1940</v>
      </c>
      <c r="N606" s="2" t="s">
        <v>1941</v>
      </c>
      <c r="O606" s="2"/>
    </row>
    <row r="607" spans="1:16" ht="86.1">
      <c r="A607" s="3" t="s">
        <v>1942</v>
      </c>
      <c r="B607" s="2" t="str">
        <f>TRIM(Table1[[#This Row],[Chat Name]])</f>
        <v>Thorn Whip</v>
      </c>
      <c r="C607" s="2">
        <v>0</v>
      </c>
      <c r="D607" s="2">
        <v>0</v>
      </c>
      <c r="E607" s="2" t="s">
        <v>244</v>
      </c>
      <c r="F607" s="6" t="b">
        <v>1</v>
      </c>
      <c r="G607" s="6" t="b">
        <v>0</v>
      </c>
      <c r="H607" s="2" t="s">
        <v>34</v>
      </c>
      <c r="I607" s="2" t="b">
        <v>0</v>
      </c>
      <c r="J607" s="2" t="s">
        <v>19</v>
      </c>
      <c r="K607" s="2" t="s">
        <v>52</v>
      </c>
      <c r="L607" s="2" t="b">
        <v>0</v>
      </c>
      <c r="M607" s="2" t="s">
        <v>1943</v>
      </c>
      <c r="N607" s="2" t="s">
        <v>1944</v>
      </c>
      <c r="O607" s="2"/>
    </row>
    <row r="608" spans="1:16" ht="159.94999999999999">
      <c r="A608" s="3" t="s">
        <v>1945</v>
      </c>
      <c r="B608" s="2" t="str">
        <f>TRIM(Table1[[#This Row],[Chat Name]])</f>
        <v>Thunder Step</v>
      </c>
      <c r="C608" s="2">
        <v>4</v>
      </c>
      <c r="D608" s="2">
        <v>15</v>
      </c>
      <c r="E608" s="2" t="s">
        <v>244</v>
      </c>
      <c r="F608" s="6" t="b">
        <v>1</v>
      </c>
      <c r="G608" s="6" t="b">
        <v>0</v>
      </c>
      <c r="H608" s="2" t="s">
        <v>34</v>
      </c>
      <c r="I608" s="2" t="b">
        <v>0</v>
      </c>
      <c r="J608" s="2" t="s">
        <v>19</v>
      </c>
      <c r="K608" s="2" t="s">
        <v>64</v>
      </c>
      <c r="L608" s="2" t="b">
        <v>0</v>
      </c>
      <c r="M608" s="2" t="s">
        <v>1946</v>
      </c>
      <c r="N608" s="2" t="s">
        <v>1947</v>
      </c>
      <c r="O608" s="2" t="s">
        <v>442</v>
      </c>
      <c r="P608" s="13" t="s">
        <v>442</v>
      </c>
    </row>
    <row r="609" spans="1:16" ht="61.5">
      <c r="A609" s="3" t="s">
        <v>1948</v>
      </c>
      <c r="B609" s="2" t="str">
        <f>TRIM(Table1[[#This Row],[Chat Name]])</f>
        <v>Thunderclap</v>
      </c>
      <c r="C609" s="2">
        <v>0</v>
      </c>
      <c r="D609" s="2">
        <v>0</v>
      </c>
      <c r="E609" s="2" t="s">
        <v>244</v>
      </c>
      <c r="F609" s="6" t="b">
        <v>1</v>
      </c>
      <c r="G609" s="6" t="b">
        <v>0</v>
      </c>
      <c r="H609" s="2" t="s">
        <v>34</v>
      </c>
      <c r="I609" s="2" t="b">
        <v>0</v>
      </c>
      <c r="J609" s="2" t="s">
        <v>19</v>
      </c>
      <c r="K609" s="2" t="s">
        <v>595</v>
      </c>
      <c r="L609" s="2" t="b">
        <v>0</v>
      </c>
      <c r="M609" s="2" t="s">
        <v>1949</v>
      </c>
      <c r="N609" s="2" t="s">
        <v>1950</v>
      </c>
      <c r="O609" s="2"/>
    </row>
    <row r="610" spans="1:16" ht="73.900000000000006">
      <c r="A610" s="3" t="s">
        <v>1951</v>
      </c>
      <c r="B610" s="2" t="str">
        <f>TRIM(Table1[[#This Row],[Chat Name]])</f>
        <v>Thunderous Smite</v>
      </c>
      <c r="C610" s="2">
        <v>1</v>
      </c>
      <c r="D610" s="2">
        <v>3</v>
      </c>
      <c r="E610" s="2" t="s">
        <v>80</v>
      </c>
      <c r="F610" s="6" t="b">
        <v>1</v>
      </c>
      <c r="G610" s="6" t="b">
        <v>0</v>
      </c>
      <c r="H610" s="2" t="s">
        <v>31</v>
      </c>
      <c r="I610" s="2" t="b">
        <v>1</v>
      </c>
      <c r="J610" s="2" t="s">
        <v>272</v>
      </c>
      <c r="K610" s="2" t="s">
        <v>59</v>
      </c>
      <c r="L610" s="2" t="b">
        <v>0</v>
      </c>
      <c r="M610" s="2" t="s">
        <v>1952</v>
      </c>
      <c r="N610" s="2" t="s">
        <v>1953</v>
      </c>
      <c r="O610" s="2"/>
    </row>
    <row r="611" spans="1:16" ht="110.65">
      <c r="A611" s="3" t="s">
        <v>1954</v>
      </c>
      <c r="B611" s="2" t="str">
        <f>TRIM(Table1[[#This Row],[Chat Name]])</f>
        <v>Thunderwave</v>
      </c>
      <c r="C611" s="2">
        <v>1</v>
      </c>
      <c r="D611" s="2">
        <v>3</v>
      </c>
      <c r="E611" s="2" t="s">
        <v>153</v>
      </c>
      <c r="F611" s="6" t="b">
        <v>1</v>
      </c>
      <c r="G611" s="6" t="b">
        <v>0</v>
      </c>
      <c r="H611" s="2" t="s">
        <v>34</v>
      </c>
      <c r="I611" s="2" t="b">
        <v>0</v>
      </c>
      <c r="J611" s="2" t="s">
        <v>19</v>
      </c>
      <c r="K611" s="2" t="s">
        <v>1955</v>
      </c>
      <c r="L611" s="2" t="b">
        <v>0</v>
      </c>
      <c r="M611" s="2" t="s">
        <v>1956</v>
      </c>
      <c r="N611" s="2" t="s">
        <v>1957</v>
      </c>
      <c r="O611" s="2" t="s">
        <v>482</v>
      </c>
      <c r="P611" s="13" t="s">
        <v>482</v>
      </c>
    </row>
    <row r="612" spans="1:16" ht="110.65">
      <c r="A612" s="3" t="s">
        <v>1958</v>
      </c>
      <c r="B612" s="2" t="str">
        <f>TRIM(Table1[[#This Row],[Chat Name]])</f>
        <v>Tidal Wave</v>
      </c>
      <c r="C612" s="2">
        <v>3</v>
      </c>
      <c r="D612" s="2">
        <v>9</v>
      </c>
      <c r="E612" s="2" t="s">
        <v>244</v>
      </c>
      <c r="F612" s="6" t="b">
        <v>1</v>
      </c>
      <c r="G612" s="6" t="b">
        <v>0</v>
      </c>
      <c r="H612" s="2" t="s">
        <v>34</v>
      </c>
      <c r="I612" s="2" t="b">
        <v>0</v>
      </c>
      <c r="J612" s="2" t="s">
        <v>19</v>
      </c>
      <c r="K612" s="2" t="s">
        <v>160</v>
      </c>
      <c r="L612" s="2" t="b">
        <v>0</v>
      </c>
      <c r="M612" s="2" t="s">
        <v>1959</v>
      </c>
      <c r="N612" s="2" t="s">
        <v>1960</v>
      </c>
      <c r="O612" s="2"/>
    </row>
    <row r="613" spans="1:16" ht="135.4">
      <c r="A613" s="3" t="s">
        <v>1961</v>
      </c>
      <c r="B613" s="2" t="str">
        <f>TRIM(Table1[[#This Row],[Chat Name]])</f>
        <v>Time Ravage</v>
      </c>
      <c r="C613" s="2">
        <v>12</v>
      </c>
      <c r="D613" s="2">
        <v>90</v>
      </c>
      <c r="E613" s="2" t="s">
        <v>30</v>
      </c>
      <c r="F613" s="6" t="b">
        <v>0</v>
      </c>
      <c r="G613" s="6" t="b">
        <v>1</v>
      </c>
      <c r="H613" s="2" t="s">
        <v>34</v>
      </c>
      <c r="I613" s="2" t="b">
        <v>0</v>
      </c>
      <c r="J613" s="2" t="s">
        <v>19</v>
      </c>
      <c r="K613" s="2" t="s">
        <v>64</v>
      </c>
      <c r="L613" s="2" t="b">
        <v>0</v>
      </c>
      <c r="M613" s="2" t="s">
        <v>1962</v>
      </c>
      <c r="N613" s="2" t="s">
        <v>1963</v>
      </c>
      <c r="O613" s="2"/>
    </row>
    <row r="614" spans="1:16" ht="110.65">
      <c r="A614" s="3" t="s">
        <v>1964</v>
      </c>
      <c r="B614" s="2" t="str">
        <f>TRIM(Table1[[#This Row],[Chat Name]])</f>
        <v>Time Stop</v>
      </c>
      <c r="C614" s="2">
        <v>12</v>
      </c>
      <c r="D614" s="2">
        <v>90</v>
      </c>
      <c r="E614" s="2" t="s">
        <v>30</v>
      </c>
      <c r="F614" s="6" t="b">
        <v>0</v>
      </c>
      <c r="G614" s="6" t="b">
        <v>1</v>
      </c>
      <c r="H614" s="2" t="s">
        <v>34</v>
      </c>
      <c r="I614" s="2" t="b">
        <v>0</v>
      </c>
      <c r="J614" s="2" t="s">
        <v>19</v>
      </c>
      <c r="K614" s="2" t="s">
        <v>59</v>
      </c>
      <c r="L614" s="2" t="b">
        <v>0</v>
      </c>
      <c r="M614" s="2" t="s">
        <v>1965</v>
      </c>
      <c r="N614" s="2" t="s">
        <v>1966</v>
      </c>
      <c r="O614" s="2"/>
    </row>
    <row r="615" spans="1:16" ht="221.45">
      <c r="A615" s="3" t="s">
        <v>1967</v>
      </c>
      <c r="B615" s="2" t="str">
        <f>TRIM(Table1[[#This Row],[Chat Name]])</f>
        <v>Tiny Servant</v>
      </c>
      <c r="C615" s="2">
        <v>4</v>
      </c>
      <c r="D615" s="2">
        <v>15</v>
      </c>
      <c r="E615" s="2" t="s">
        <v>80</v>
      </c>
      <c r="F615" s="6" t="b">
        <v>1</v>
      </c>
      <c r="G615" s="6" t="b">
        <v>0</v>
      </c>
      <c r="H615" s="2" t="s">
        <v>39</v>
      </c>
      <c r="I615" s="2" t="b">
        <v>0</v>
      </c>
      <c r="J615" s="2" t="s">
        <v>40</v>
      </c>
      <c r="K615" s="2" t="s">
        <v>110</v>
      </c>
      <c r="L615" s="2" t="b">
        <v>0</v>
      </c>
      <c r="M615" s="2" t="s">
        <v>1968</v>
      </c>
      <c r="N615" s="2" t="s">
        <v>1969</v>
      </c>
      <c r="O615" s="2" t="s">
        <v>1970</v>
      </c>
      <c r="P615" s="13" t="s">
        <v>1970</v>
      </c>
    </row>
    <row r="616" spans="1:16" ht="135.4">
      <c r="A616" s="3" t="s">
        <v>1971</v>
      </c>
      <c r="B616" s="2" t="str">
        <f>TRIM(Table1[[#This Row],[Chat Name]])</f>
        <v>Divination</v>
      </c>
      <c r="C616" s="2">
        <v>5</v>
      </c>
      <c r="D616" s="2">
        <v>21</v>
      </c>
      <c r="E616" s="2" t="s">
        <v>80</v>
      </c>
      <c r="F616" s="6" t="b">
        <v>1</v>
      </c>
      <c r="G616" s="6" t="b">
        <v>0</v>
      </c>
      <c r="H616" s="2" t="s">
        <v>34</v>
      </c>
      <c r="I616" s="2" t="b">
        <v>0</v>
      </c>
      <c r="J616" s="2" t="s">
        <v>19</v>
      </c>
      <c r="K616" s="2" t="s">
        <v>59</v>
      </c>
      <c r="L616" s="2" t="b">
        <v>1</v>
      </c>
      <c r="M616" s="2" t="s">
        <v>1972</v>
      </c>
      <c r="N616" s="2" t="s">
        <v>1973</v>
      </c>
      <c r="O616" s="2"/>
    </row>
    <row r="617" spans="1:16" ht="49.15">
      <c r="A617" s="3" t="s">
        <v>1974</v>
      </c>
      <c r="B617" s="2" t="str">
        <f>TRIM(Table1[[#This Row],[Chat Name]])</f>
        <v>Tongues</v>
      </c>
      <c r="C617" s="2">
        <v>4</v>
      </c>
      <c r="D617" s="2">
        <v>15</v>
      </c>
      <c r="E617" s="2" t="s">
        <v>73</v>
      </c>
      <c r="F617" s="6" t="b">
        <v>0</v>
      </c>
      <c r="G617" s="6" t="b">
        <v>1</v>
      </c>
      <c r="H617" s="2" t="s">
        <v>34</v>
      </c>
      <c r="I617" s="2" t="b">
        <v>0</v>
      </c>
      <c r="J617" s="2" t="s">
        <v>35</v>
      </c>
      <c r="K617" s="2" t="s">
        <v>110</v>
      </c>
      <c r="L617" s="2" t="b">
        <v>0</v>
      </c>
      <c r="M617" s="2" t="s">
        <v>1975</v>
      </c>
      <c r="N617" s="2" t="s">
        <v>1976</v>
      </c>
      <c r="O617" s="2"/>
    </row>
    <row r="618" spans="1:16" ht="86.1">
      <c r="A618" s="3"/>
      <c r="B618" s="2" t="str">
        <f>TRIM(Table1[[#This Row],[Chat Name]])</f>
        <v/>
      </c>
      <c r="C618" s="2">
        <v>3</v>
      </c>
      <c r="D618" s="2">
        <v>9</v>
      </c>
      <c r="E618" s="2" t="s">
        <v>96</v>
      </c>
      <c r="F618" s="6" t="b">
        <v>0</v>
      </c>
      <c r="G618" s="6" t="b">
        <v>1</v>
      </c>
      <c r="H618" s="2" t="s">
        <v>34</v>
      </c>
      <c r="I618" s="2" t="b">
        <v>1</v>
      </c>
      <c r="J618" s="2" t="s">
        <v>39</v>
      </c>
      <c r="K618" s="2" t="s">
        <v>56</v>
      </c>
      <c r="L618" s="2" t="b">
        <v>0</v>
      </c>
      <c r="M618" s="2"/>
      <c r="N618" s="2" t="s">
        <v>1977</v>
      </c>
      <c r="O618" s="2"/>
    </row>
    <row r="619" spans="1:16" ht="344.45">
      <c r="A619" s="3" t="s">
        <v>1978</v>
      </c>
      <c r="B619" s="2" t="str">
        <f>TRIM(Table1[[#This Row],[Chat Name]])</f>
        <v>Transmute Rock</v>
      </c>
      <c r="C619" s="2">
        <v>6</v>
      </c>
      <c r="D619" s="2">
        <v>27</v>
      </c>
      <c r="E619" s="2" t="s">
        <v>153</v>
      </c>
      <c r="F619" s="6" t="b">
        <v>1</v>
      </c>
      <c r="G619" s="6" t="b">
        <v>0</v>
      </c>
      <c r="H619" s="2" t="s">
        <v>34</v>
      </c>
      <c r="I619" s="2" t="b">
        <v>0</v>
      </c>
      <c r="J619" s="2" t="s">
        <v>307</v>
      </c>
      <c r="K619" s="2" t="s">
        <v>160</v>
      </c>
      <c r="L619" s="2" t="b">
        <v>0</v>
      </c>
      <c r="M619" s="2" t="s">
        <v>1979</v>
      </c>
      <c r="N619" s="2" t="s">
        <v>1980</v>
      </c>
      <c r="O619" s="2"/>
    </row>
    <row r="620" spans="1:16" ht="73.900000000000006">
      <c r="A620" s="3" t="s">
        <v>1981</v>
      </c>
      <c r="B620" s="2" t="str">
        <f>TRIM(Table1[[#This Row],[Chat Name]])</f>
        <v>Transport via Plants</v>
      </c>
      <c r="C620" s="2">
        <v>8</v>
      </c>
      <c r="D620" s="2">
        <v>45</v>
      </c>
      <c r="E620" s="2" t="s">
        <v>244</v>
      </c>
      <c r="F620" s="6" t="b">
        <v>1</v>
      </c>
      <c r="G620" s="6" t="b">
        <v>0</v>
      </c>
      <c r="H620" s="2" t="s">
        <v>34</v>
      </c>
      <c r="I620" s="2" t="b">
        <v>0</v>
      </c>
      <c r="J620" s="2" t="s">
        <v>144</v>
      </c>
      <c r="K620" s="2" t="s">
        <v>132</v>
      </c>
      <c r="L620" s="2" t="b">
        <v>0</v>
      </c>
      <c r="M620" s="2" t="s">
        <v>1982</v>
      </c>
      <c r="N620" s="2" t="s">
        <v>1983</v>
      </c>
      <c r="O620" s="2"/>
    </row>
    <row r="621" spans="1:16" ht="409.5">
      <c r="A621" s="3" t="s">
        <v>1984</v>
      </c>
      <c r="B621" s="2" t="str">
        <f>TRIM(Table1[[#This Row],[Chat Name]])</f>
        <v>Astral Projection</v>
      </c>
      <c r="C621" s="2">
        <v>11</v>
      </c>
      <c r="D621" s="2">
        <v>78</v>
      </c>
      <c r="E621" s="2" t="s">
        <v>244</v>
      </c>
      <c r="F621" s="6" t="b">
        <v>1</v>
      </c>
      <c r="G621" s="6" t="b">
        <v>0</v>
      </c>
      <c r="H621" s="2" t="s">
        <v>35</v>
      </c>
      <c r="I621" s="2" t="b">
        <v>0</v>
      </c>
      <c r="J621" s="2" t="s">
        <v>621</v>
      </c>
      <c r="K621" s="2" t="s">
        <v>132</v>
      </c>
      <c r="L621" s="2" t="b">
        <v>0</v>
      </c>
      <c r="M621" s="2" t="s">
        <v>1985</v>
      </c>
      <c r="N621" s="2" t="s">
        <v>1986</v>
      </c>
      <c r="O621" s="2"/>
    </row>
    <row r="622" spans="1:16" ht="147.6">
      <c r="A622" s="3" t="s">
        <v>1987</v>
      </c>
      <c r="B622" s="2" t="str">
        <f>TRIM(Table1[[#This Row],[Chat Name]])</f>
        <v>Tree Stride</v>
      </c>
      <c r="C622" s="2">
        <v>6</v>
      </c>
      <c r="D622" s="2">
        <v>27</v>
      </c>
      <c r="E622" s="2" t="s">
        <v>244</v>
      </c>
      <c r="F622" s="6" t="b">
        <v>1</v>
      </c>
      <c r="G622" s="6" t="b">
        <v>0</v>
      </c>
      <c r="H622" s="2" t="s">
        <v>34</v>
      </c>
      <c r="I622" s="2" t="b">
        <v>1</v>
      </c>
      <c r="J622" s="2" t="s">
        <v>272</v>
      </c>
      <c r="K622" s="2" t="s">
        <v>59</v>
      </c>
      <c r="L622" s="2" t="b">
        <v>0</v>
      </c>
      <c r="M622" s="2" t="s">
        <v>1988</v>
      </c>
      <c r="N622" s="2" t="s">
        <v>1988</v>
      </c>
      <c r="O622" s="2"/>
    </row>
    <row r="623" spans="1:16" ht="135.4">
      <c r="A623" s="3"/>
      <c r="B623" s="2" t="str">
        <f>TRIM(Table1[[#This Row],[Chat Name]])</f>
        <v/>
      </c>
      <c r="C623" s="2">
        <v>0</v>
      </c>
      <c r="D623" s="2">
        <v>0</v>
      </c>
      <c r="E623" s="2" t="s">
        <v>96</v>
      </c>
      <c r="F623" s="7" t="b">
        <v>0</v>
      </c>
      <c r="G623" s="7" t="b">
        <v>1</v>
      </c>
      <c r="H623" s="2" t="s">
        <v>34</v>
      </c>
      <c r="I623" s="2" t="b">
        <v>0</v>
      </c>
      <c r="J623" s="2" t="s">
        <v>19</v>
      </c>
      <c r="K623" s="2" t="s">
        <v>56</v>
      </c>
      <c r="L623" s="2" t="b">
        <v>0</v>
      </c>
      <c r="M623" s="2"/>
      <c r="N623" s="2" t="s">
        <v>1989</v>
      </c>
      <c r="O623" s="2"/>
    </row>
    <row r="624" spans="1:16" ht="409.5">
      <c r="A624" s="3" t="s">
        <v>1990</v>
      </c>
      <c r="B624" s="2" t="str">
        <f>TRIM(Table1[[#This Row],[Chat Name]])</f>
        <v>True Polymorph</v>
      </c>
      <c r="C624" s="2">
        <v>12</v>
      </c>
      <c r="D624" s="2">
        <v>90</v>
      </c>
      <c r="E624" s="2" t="s">
        <v>96</v>
      </c>
      <c r="F624" s="6" t="b">
        <v>0</v>
      </c>
      <c r="G624" s="6" t="b">
        <v>1</v>
      </c>
      <c r="H624" s="2" t="s">
        <v>34</v>
      </c>
      <c r="I624" s="2" t="b">
        <v>1</v>
      </c>
      <c r="J624" s="2" t="s">
        <v>245</v>
      </c>
      <c r="K624" s="2" t="s">
        <v>52</v>
      </c>
      <c r="L624" s="2" t="b">
        <v>0</v>
      </c>
      <c r="M624" s="2" t="s">
        <v>1991</v>
      </c>
      <c r="N624" s="2" t="s">
        <v>1992</v>
      </c>
      <c r="O624" s="2"/>
    </row>
    <row r="625" spans="1:16" ht="123">
      <c r="A625" s="3" t="s">
        <v>1993</v>
      </c>
      <c r="B625" s="2" t="str">
        <f>TRIM(Table1[[#This Row],[Chat Name]])</f>
        <v>True Resurrection</v>
      </c>
      <c r="C625" s="2">
        <v>12</v>
      </c>
      <c r="D625" s="2">
        <v>90</v>
      </c>
      <c r="E625" s="2" t="s">
        <v>80</v>
      </c>
      <c r="F625" s="6" t="b">
        <v>1</v>
      </c>
      <c r="G625" s="6" t="b">
        <v>0</v>
      </c>
      <c r="H625" s="2" t="s">
        <v>35</v>
      </c>
      <c r="I625" s="2" t="b">
        <v>0</v>
      </c>
      <c r="J625" s="2" t="s">
        <v>19</v>
      </c>
      <c r="K625" s="2" t="s">
        <v>110</v>
      </c>
      <c r="L625" s="2" t="b">
        <v>0</v>
      </c>
      <c r="M625" s="2" t="s">
        <v>1994</v>
      </c>
      <c r="N625" s="2" t="s">
        <v>1995</v>
      </c>
      <c r="O625" s="2"/>
    </row>
    <row r="626" spans="1:16" ht="49.15">
      <c r="A626" s="3" t="s">
        <v>1996</v>
      </c>
      <c r="B626" s="2" t="str">
        <f>TRIM(Table1[[#This Row],[Chat Name]])</f>
        <v>True Seeing</v>
      </c>
      <c r="C626" s="2">
        <v>8</v>
      </c>
      <c r="D626" s="2">
        <v>45</v>
      </c>
      <c r="E626" s="2" t="s">
        <v>73</v>
      </c>
      <c r="F626" s="6" t="b">
        <v>0</v>
      </c>
      <c r="G626" s="6" t="b">
        <v>1</v>
      </c>
      <c r="H626" s="2" t="s">
        <v>34</v>
      </c>
      <c r="I626" s="2" t="b">
        <v>0</v>
      </c>
      <c r="J626" s="2" t="s">
        <v>35</v>
      </c>
      <c r="K626" s="2" t="s">
        <v>110</v>
      </c>
      <c r="L626" s="2" t="b">
        <v>0</v>
      </c>
      <c r="M626" s="2" t="s">
        <v>1997</v>
      </c>
      <c r="N626" s="2" t="s">
        <v>1998</v>
      </c>
      <c r="O626" s="2"/>
    </row>
    <row r="627" spans="1:16" ht="49.15">
      <c r="A627" s="3" t="s">
        <v>1220</v>
      </c>
      <c r="B627" s="2" t="str">
        <f>TRIM(Table1[[#This Row],[Chat Name]])</f>
        <v>True Strike</v>
      </c>
      <c r="C627" s="2">
        <v>0</v>
      </c>
      <c r="D627" s="2">
        <v>0</v>
      </c>
      <c r="E627" s="2" t="s">
        <v>23</v>
      </c>
      <c r="F627" s="6" t="b">
        <v>1</v>
      </c>
      <c r="G627" s="6" t="b">
        <v>0</v>
      </c>
      <c r="H627" s="2" t="s">
        <v>34</v>
      </c>
      <c r="I627" s="2" t="b">
        <v>1</v>
      </c>
      <c r="J627" s="2" t="s">
        <v>1999</v>
      </c>
      <c r="K627" s="2" t="s">
        <v>52</v>
      </c>
      <c r="L627" s="2" t="b">
        <v>0</v>
      </c>
      <c r="M627" s="2" t="s">
        <v>2000</v>
      </c>
      <c r="N627" s="2" t="s">
        <v>2001</v>
      </c>
      <c r="O627" s="2"/>
    </row>
    <row r="628" spans="1:16" ht="57.6">
      <c r="A628" s="3"/>
      <c r="B628" s="2" t="str">
        <f>TRIM(Table1[[#This Row],[Chat Name]])</f>
        <v/>
      </c>
      <c r="C628" s="2">
        <v>0</v>
      </c>
      <c r="D628" s="2">
        <v>0</v>
      </c>
      <c r="E628" s="2" t="s">
        <v>244</v>
      </c>
      <c r="F628" s="6" t="b">
        <v>1</v>
      </c>
      <c r="G628" s="6" t="b">
        <v>0</v>
      </c>
      <c r="H628" s="2" t="s">
        <v>34</v>
      </c>
      <c r="I628" s="2" t="b">
        <v>0</v>
      </c>
      <c r="J628" s="2" t="s">
        <v>19</v>
      </c>
      <c r="K628" s="2" t="s">
        <v>59</v>
      </c>
      <c r="L628" s="2" t="b">
        <v>0</v>
      </c>
      <c r="M628" s="2"/>
      <c r="N628" s="2" t="s">
        <v>2002</v>
      </c>
      <c r="O628" s="2" t="s">
        <v>2003</v>
      </c>
      <c r="P628" s="13" t="s">
        <v>2004</v>
      </c>
    </row>
    <row r="629" spans="1:16" ht="258.39999999999998">
      <c r="A629" s="3" t="s">
        <v>2005</v>
      </c>
      <c r="B629" s="2" t="str">
        <f>TRIM(Table1[[#This Row],[Chat Name]])</f>
        <v>Tsunami</v>
      </c>
      <c r="C629" s="2">
        <v>10</v>
      </c>
      <c r="D629" s="2">
        <v>66</v>
      </c>
      <c r="E629" s="2" t="s">
        <v>244</v>
      </c>
      <c r="F629" s="6" t="b">
        <v>1</v>
      </c>
      <c r="G629" s="6" t="b">
        <v>0</v>
      </c>
      <c r="H629" s="2" t="s">
        <v>39</v>
      </c>
      <c r="I629" s="2" t="b">
        <v>1</v>
      </c>
      <c r="J629" s="2" t="s">
        <v>2006</v>
      </c>
      <c r="K629" s="2" t="s">
        <v>1447</v>
      </c>
      <c r="L629" s="2" t="b">
        <v>0</v>
      </c>
      <c r="M629" s="2" t="s">
        <v>2007</v>
      </c>
      <c r="N629" s="2" t="s">
        <v>2008</v>
      </c>
      <c r="O629" s="2"/>
    </row>
    <row r="630" spans="1:16" ht="282.95">
      <c r="A630" s="3" t="s">
        <v>2009</v>
      </c>
      <c r="B630" s="2" t="str">
        <f>TRIM(Table1[[#This Row],[Chat Name]])</f>
        <v>Galder's Speedy Courier</v>
      </c>
      <c r="C630" s="2">
        <v>5</v>
      </c>
      <c r="D630" s="2">
        <v>21</v>
      </c>
      <c r="E630" s="2" t="s">
        <v>244</v>
      </c>
      <c r="F630" s="6" t="b">
        <v>1</v>
      </c>
      <c r="G630" s="6" t="b">
        <v>0</v>
      </c>
      <c r="H630" s="2" t="s">
        <v>34</v>
      </c>
      <c r="I630" s="2" t="b">
        <v>0</v>
      </c>
      <c r="J630" s="2" t="s">
        <v>18</v>
      </c>
      <c r="K630" s="2" t="s">
        <v>132</v>
      </c>
      <c r="L630" s="2" t="b">
        <v>0</v>
      </c>
      <c r="M630" s="2" t="s">
        <v>2010</v>
      </c>
      <c r="N630" s="2" t="s">
        <v>2011</v>
      </c>
      <c r="O630" s="2" t="s">
        <v>2012</v>
      </c>
      <c r="P630" s="13" t="s">
        <v>2012</v>
      </c>
    </row>
    <row r="631" spans="1:16" ht="172.15">
      <c r="A631" s="3" t="s">
        <v>2013</v>
      </c>
      <c r="B631" s="2" t="str">
        <f>TRIM(Table1[[#This Row],[Chat Name]])</f>
        <v>Leomund's Tiny Hut</v>
      </c>
      <c r="C631" s="2">
        <v>3</v>
      </c>
      <c r="D631" s="2">
        <v>9</v>
      </c>
      <c r="E631" s="2" t="s">
        <v>30</v>
      </c>
      <c r="F631" s="6" t="b">
        <v>0</v>
      </c>
      <c r="G631" s="6" t="b">
        <v>1</v>
      </c>
      <c r="H631" s="2" t="s">
        <v>39</v>
      </c>
      <c r="I631" s="2" t="b">
        <v>0</v>
      </c>
      <c r="J631" s="2" t="s">
        <v>40</v>
      </c>
      <c r="K631" s="2" t="s">
        <v>2014</v>
      </c>
      <c r="L631" s="2" t="b">
        <v>1</v>
      </c>
      <c r="M631" s="2" t="s">
        <v>2015</v>
      </c>
      <c r="N631" s="2" t="s">
        <v>2016</v>
      </c>
      <c r="O631" s="2"/>
    </row>
    <row r="632" spans="1:16" ht="98.45">
      <c r="A632" s="3" t="s">
        <v>2017</v>
      </c>
      <c r="B632" s="2" t="str">
        <f>TRIM(Table1[[#This Row],[Chat Name]])</f>
        <v>Rary's Telepathic Bond</v>
      </c>
      <c r="C632" s="2">
        <v>6</v>
      </c>
      <c r="D632" s="2">
        <v>27</v>
      </c>
      <c r="E632" s="2" t="s">
        <v>73</v>
      </c>
      <c r="F632" s="6" t="b">
        <v>0</v>
      </c>
      <c r="G632" s="6" t="b">
        <v>1</v>
      </c>
      <c r="H632" s="2" t="s">
        <v>34</v>
      </c>
      <c r="I632" s="2" t="b">
        <v>0</v>
      </c>
      <c r="J632" s="2" t="s">
        <v>35</v>
      </c>
      <c r="K632" s="2" t="s">
        <v>52</v>
      </c>
      <c r="L632" s="2" t="b">
        <v>1</v>
      </c>
      <c r="M632" s="2" t="s">
        <v>2018</v>
      </c>
      <c r="N632" s="2" t="s">
        <v>2019</v>
      </c>
      <c r="O632" s="2"/>
    </row>
    <row r="633" spans="1:16" ht="159.94999999999999">
      <c r="A633" s="3"/>
      <c r="B633" s="2" t="str">
        <f>TRIM(Table1[[#This Row],[Chat Name]])</f>
        <v/>
      </c>
      <c r="C633" s="2">
        <v>2</v>
      </c>
      <c r="D633" s="2">
        <v>6</v>
      </c>
      <c r="E633" s="2" t="s">
        <v>23</v>
      </c>
      <c r="F633" s="6" t="b">
        <v>1</v>
      </c>
      <c r="G633" s="6" t="b">
        <v>0</v>
      </c>
      <c r="H633" s="2" t="s">
        <v>34</v>
      </c>
      <c r="I633" s="2" t="b">
        <v>1</v>
      </c>
      <c r="J633" s="2" t="s">
        <v>39</v>
      </c>
      <c r="K633" s="2" t="s">
        <v>56</v>
      </c>
      <c r="L633" s="2" t="b">
        <v>0</v>
      </c>
      <c r="M633" s="2" t="s">
        <v>2020</v>
      </c>
      <c r="N633" s="2" t="s">
        <v>2021</v>
      </c>
      <c r="O633" s="2" t="s">
        <v>2022</v>
      </c>
      <c r="P633" s="13" t="s">
        <v>2022</v>
      </c>
    </row>
    <row r="634" spans="1:16" ht="184.5">
      <c r="A634" s="3" t="s">
        <v>2023</v>
      </c>
      <c r="B634" s="2" t="str">
        <f>TRIM(Table1[[#This Row],[Chat Name]])</f>
        <v>Unseen Servant</v>
      </c>
      <c r="C634" s="2">
        <v>1</v>
      </c>
      <c r="D634" s="2">
        <v>3</v>
      </c>
      <c r="E634" s="2" t="s">
        <v>80</v>
      </c>
      <c r="F634" s="6" t="b">
        <v>1</v>
      </c>
      <c r="G634" s="6" t="b">
        <v>0</v>
      </c>
      <c r="H634" s="2" t="s">
        <v>34</v>
      </c>
      <c r="I634" s="2" t="b">
        <v>0</v>
      </c>
      <c r="J634" s="2" t="s">
        <v>35</v>
      </c>
      <c r="K634" s="2" t="s">
        <v>56</v>
      </c>
      <c r="L634" s="2" t="b">
        <v>1</v>
      </c>
      <c r="M634" s="2" t="s">
        <v>2024</v>
      </c>
      <c r="N634" s="2" t="s">
        <v>2025</v>
      </c>
      <c r="O634" s="2"/>
    </row>
    <row r="635" spans="1:16" ht="73.900000000000006">
      <c r="A635" s="3" t="s">
        <v>2026</v>
      </c>
      <c r="B635" s="2" t="str">
        <f>TRIM(Table1[[#This Row],[Chat Name]])</f>
        <v>Vampiric Touch</v>
      </c>
      <c r="C635" s="2">
        <v>4</v>
      </c>
      <c r="D635" s="2">
        <v>15</v>
      </c>
      <c r="E635" s="2" t="s">
        <v>17</v>
      </c>
      <c r="F635" s="6" t="b">
        <v>0</v>
      </c>
      <c r="G635" s="6" t="b">
        <v>1</v>
      </c>
      <c r="H635" s="2" t="s">
        <v>34</v>
      </c>
      <c r="I635" s="2" t="b">
        <v>1</v>
      </c>
      <c r="J635" s="2" t="s">
        <v>272</v>
      </c>
      <c r="K635" s="2" t="s">
        <v>59</v>
      </c>
      <c r="L635" s="2" t="b">
        <v>0</v>
      </c>
      <c r="M635" s="2" t="s">
        <v>2027</v>
      </c>
      <c r="N635" s="2" t="s">
        <v>2028</v>
      </c>
      <c r="O635" s="2" t="s">
        <v>938</v>
      </c>
      <c r="P635" s="13" t="s">
        <v>938</v>
      </c>
    </row>
    <row r="636" spans="1:16" ht="86.1">
      <c r="A636" s="3" t="s">
        <v>2029</v>
      </c>
      <c r="B636" s="2" t="str">
        <f>TRIM(Table1[[#This Row],[Chat Name]])</f>
        <v>Vicious Mockery</v>
      </c>
      <c r="C636" s="2">
        <v>0</v>
      </c>
      <c r="D636" s="2">
        <v>0</v>
      </c>
      <c r="E636" s="2" t="s">
        <v>73</v>
      </c>
      <c r="F636" s="6" t="b">
        <v>0</v>
      </c>
      <c r="G636" s="6" t="b">
        <v>1</v>
      </c>
      <c r="H636" s="2" t="s">
        <v>34</v>
      </c>
      <c r="I636" s="2" t="b">
        <v>0</v>
      </c>
      <c r="J636" s="2" t="s">
        <v>19</v>
      </c>
      <c r="K636" s="2" t="s">
        <v>56</v>
      </c>
      <c r="L636" s="2" t="b">
        <v>0</v>
      </c>
      <c r="M636" s="2" t="s">
        <v>2030</v>
      </c>
      <c r="N636" s="2" t="s">
        <v>2031</v>
      </c>
      <c r="O636" s="2"/>
    </row>
    <row r="637" spans="1:16" ht="36.950000000000003">
      <c r="A637" s="3"/>
      <c r="B637" s="2" t="str">
        <f>TRIM(Table1[[#This Row],[Chat Name]])</f>
        <v/>
      </c>
      <c r="C637" s="2">
        <v>0</v>
      </c>
      <c r="D637" s="2">
        <v>0</v>
      </c>
      <c r="E637" s="2" t="s">
        <v>23</v>
      </c>
      <c r="F637" s="6" t="b">
        <v>1</v>
      </c>
      <c r="G637" s="6" t="b">
        <v>0</v>
      </c>
      <c r="H637" s="2" t="s">
        <v>34</v>
      </c>
      <c r="I637" s="2" t="b">
        <v>0</v>
      </c>
      <c r="J637" s="2" t="s">
        <v>18</v>
      </c>
      <c r="K637" s="2" t="s">
        <v>110</v>
      </c>
      <c r="L637" s="2" t="b">
        <v>0</v>
      </c>
      <c r="M637" s="2"/>
      <c r="N637" s="2" t="s">
        <v>2032</v>
      </c>
      <c r="O637" s="2"/>
    </row>
    <row r="638" spans="1:16" ht="49.15">
      <c r="A638" s="3"/>
      <c r="B638" s="2" t="str">
        <f>TRIM(Table1[[#This Row],[Chat Name]])</f>
        <v/>
      </c>
      <c r="C638" s="2">
        <v>0</v>
      </c>
      <c r="D638" s="2">
        <v>0</v>
      </c>
      <c r="E638" s="2" t="s">
        <v>80</v>
      </c>
      <c r="F638" s="6" t="b">
        <v>1</v>
      </c>
      <c r="G638" s="6" t="b">
        <v>0</v>
      </c>
      <c r="H638" s="2" t="s">
        <v>34</v>
      </c>
      <c r="I638" s="2" t="b">
        <v>0</v>
      </c>
      <c r="J638" s="2" t="s">
        <v>19</v>
      </c>
      <c r="K638" s="2" t="s">
        <v>110</v>
      </c>
      <c r="L638" s="2" t="b">
        <v>0</v>
      </c>
      <c r="M638" s="2"/>
      <c r="N638" s="2" t="s">
        <v>2033</v>
      </c>
      <c r="O638" s="2"/>
    </row>
    <row r="639" spans="1:16" ht="147.6">
      <c r="A639" s="3" t="s">
        <v>2034</v>
      </c>
      <c r="B639" s="2" t="str">
        <f>TRIM(Table1[[#This Row],[Chat Name]])</f>
        <v>Fizban's Platinum Shield</v>
      </c>
      <c r="C639" s="2">
        <v>8</v>
      </c>
      <c r="D639" s="2">
        <v>45</v>
      </c>
      <c r="E639" s="2" t="s">
        <v>244</v>
      </c>
      <c r="F639" s="6" t="b">
        <v>1</v>
      </c>
      <c r="G639" s="6" t="b">
        <v>0</v>
      </c>
      <c r="H639" s="2" t="s">
        <v>31</v>
      </c>
      <c r="I639" s="2" t="b">
        <v>1</v>
      </c>
      <c r="J639" s="2" t="s">
        <v>272</v>
      </c>
      <c r="K639" s="2" t="s">
        <v>56</v>
      </c>
      <c r="L639" s="2" t="b">
        <v>0</v>
      </c>
      <c r="M639" s="2" t="s">
        <v>2035</v>
      </c>
      <c r="N639" s="2" t="s">
        <v>2036</v>
      </c>
      <c r="O639" s="2"/>
    </row>
    <row r="640" spans="1:16" ht="86.1">
      <c r="A640" s="3" t="s">
        <v>2037</v>
      </c>
      <c r="B640" s="2" t="str">
        <f>TRIM(Table1[[#This Row],[Chat Name]])</f>
        <v>Vitriolic Sphere</v>
      </c>
      <c r="C640" s="2">
        <v>5</v>
      </c>
      <c r="D640" s="2">
        <v>21</v>
      </c>
      <c r="E640" s="2" t="s">
        <v>96</v>
      </c>
      <c r="F640" s="6" t="b">
        <v>0</v>
      </c>
      <c r="G640" s="6" t="b">
        <v>1</v>
      </c>
      <c r="H640" s="2" t="s">
        <v>34</v>
      </c>
      <c r="I640" s="2" t="b">
        <v>0</v>
      </c>
      <c r="J640" s="2" t="s">
        <v>19</v>
      </c>
      <c r="K640" s="2" t="s">
        <v>460</v>
      </c>
      <c r="L640" s="2" t="b">
        <v>0</v>
      </c>
      <c r="M640" s="2" t="s">
        <v>2038</v>
      </c>
      <c r="N640" s="2" t="s">
        <v>2039</v>
      </c>
      <c r="O640" s="2" t="s">
        <v>2040</v>
      </c>
      <c r="P640" s="13" t="s">
        <v>2040</v>
      </c>
    </row>
    <row r="641" spans="1:16" ht="73.900000000000006">
      <c r="A641" s="3" t="s">
        <v>2041</v>
      </c>
      <c r="B641" s="2" t="str">
        <f>TRIM(Table1[[#This Row],[Chat Name]])</f>
        <v>Vortex Warp</v>
      </c>
      <c r="C641" s="2">
        <v>2</v>
      </c>
      <c r="D641" s="2">
        <v>6</v>
      </c>
      <c r="E641" s="2" t="s">
        <v>30</v>
      </c>
      <c r="F641" s="6" t="b">
        <v>0</v>
      </c>
      <c r="G641" s="6" t="b">
        <v>1</v>
      </c>
      <c r="H641" s="2" t="s">
        <v>34</v>
      </c>
      <c r="I641" s="2" t="b">
        <v>0</v>
      </c>
      <c r="J641" s="2" t="s">
        <v>19</v>
      </c>
      <c r="K641" s="2" t="s">
        <v>64</v>
      </c>
      <c r="L641" s="2" t="b">
        <v>0</v>
      </c>
      <c r="M641" s="2" t="s">
        <v>2042</v>
      </c>
      <c r="N641" s="2" t="s">
        <v>2042</v>
      </c>
      <c r="O641" s="2" t="s">
        <v>2043</v>
      </c>
      <c r="P641" s="13" t="s">
        <v>2043</v>
      </c>
    </row>
    <row r="642" spans="1:16" ht="270.60000000000002">
      <c r="A642" s="3" t="s">
        <v>2044</v>
      </c>
      <c r="B642" s="2" t="str">
        <f>TRIM(Table1[[#This Row],[Chat Name]])</f>
        <v>Etherealness</v>
      </c>
      <c r="C642" s="2">
        <v>9</v>
      </c>
      <c r="D642" s="2">
        <v>54</v>
      </c>
      <c r="E642" s="2" t="s">
        <v>244</v>
      </c>
      <c r="F642" s="6" t="b">
        <v>1</v>
      </c>
      <c r="G642" s="6" t="b">
        <v>0</v>
      </c>
      <c r="H642" s="2" t="s">
        <v>34</v>
      </c>
      <c r="I642" s="2" t="b">
        <v>0</v>
      </c>
      <c r="J642" s="2" t="s">
        <v>588</v>
      </c>
      <c r="K642" s="2" t="s">
        <v>59</v>
      </c>
      <c r="L642" s="2" t="b">
        <v>0</v>
      </c>
      <c r="M642" s="2" t="s">
        <v>2045</v>
      </c>
      <c r="N642" s="2" t="s">
        <v>2046</v>
      </c>
      <c r="O642" s="2" t="s">
        <v>2047</v>
      </c>
      <c r="P642" s="13" t="s">
        <v>2047</v>
      </c>
    </row>
    <row r="643" spans="1:16" ht="147.6">
      <c r="A643" s="3" t="s">
        <v>2048</v>
      </c>
      <c r="B643" s="2" t="str">
        <f>TRIM(Table1[[#This Row],[Chat Name]])</f>
        <v>Wall of Fire</v>
      </c>
      <c r="C643" s="2">
        <v>5</v>
      </c>
      <c r="D643" s="2">
        <v>21</v>
      </c>
      <c r="E643" s="2" t="s">
        <v>153</v>
      </c>
      <c r="F643" s="6" t="b">
        <v>1</v>
      </c>
      <c r="G643" s="6" t="b">
        <v>0</v>
      </c>
      <c r="H643" s="2" t="s">
        <v>34</v>
      </c>
      <c r="I643" s="2" t="b">
        <v>1</v>
      </c>
      <c r="J643" s="2" t="s">
        <v>272</v>
      </c>
      <c r="K643" s="2" t="s">
        <v>160</v>
      </c>
      <c r="L643" s="2" t="b">
        <v>0</v>
      </c>
      <c r="M643" s="2" t="s">
        <v>2049</v>
      </c>
      <c r="N643" s="2" t="s">
        <v>2050</v>
      </c>
      <c r="O643" s="2" t="s">
        <v>391</v>
      </c>
      <c r="P643" s="13" t="s">
        <v>391</v>
      </c>
    </row>
    <row r="644" spans="1:16" ht="184.5">
      <c r="A644" s="3" t="s">
        <v>2051</v>
      </c>
      <c r="B644" s="2" t="str">
        <f>TRIM(Table1[[#This Row],[Chat Name]])</f>
        <v>Wall of Force</v>
      </c>
      <c r="C644" s="2">
        <v>7</v>
      </c>
      <c r="D644" s="2">
        <v>36</v>
      </c>
      <c r="E644" s="2" t="s">
        <v>30</v>
      </c>
      <c r="F644" s="6" t="b">
        <v>0</v>
      </c>
      <c r="G644" s="6" t="b">
        <v>1</v>
      </c>
      <c r="H644" s="2" t="s">
        <v>34</v>
      </c>
      <c r="I644" s="2" t="b">
        <v>1</v>
      </c>
      <c r="J644" s="2" t="s">
        <v>301</v>
      </c>
      <c r="K644" s="2" t="s">
        <v>160</v>
      </c>
      <c r="L644" s="2" t="b">
        <v>0</v>
      </c>
      <c r="M644" s="2" t="s">
        <v>2052</v>
      </c>
      <c r="N644" s="2" t="s">
        <v>2053</v>
      </c>
      <c r="O644" s="2"/>
    </row>
    <row r="645" spans="1:16" ht="221.45">
      <c r="A645" s="3" t="s">
        <v>2054</v>
      </c>
      <c r="B645" s="2" t="str">
        <f>TRIM(Table1[[#This Row],[Chat Name]])</f>
        <v>Wall of Ice</v>
      </c>
      <c r="C645" s="2">
        <v>7</v>
      </c>
      <c r="D645" s="2">
        <v>36</v>
      </c>
      <c r="E645" s="2" t="s">
        <v>153</v>
      </c>
      <c r="F645" s="6" t="b">
        <v>1</v>
      </c>
      <c r="G645" s="6" t="b">
        <v>0</v>
      </c>
      <c r="H645" s="2" t="s">
        <v>34</v>
      </c>
      <c r="I645" s="2" t="b">
        <v>1</v>
      </c>
      <c r="J645" s="2" t="s">
        <v>301</v>
      </c>
      <c r="K645" s="2" t="s">
        <v>160</v>
      </c>
      <c r="L645" s="2" t="b">
        <v>0</v>
      </c>
      <c r="M645" s="2" t="s">
        <v>2055</v>
      </c>
      <c r="N645" s="2" t="s">
        <v>2056</v>
      </c>
      <c r="O645" s="2" t="s">
        <v>2057</v>
      </c>
      <c r="P645" s="13" t="s">
        <v>2057</v>
      </c>
    </row>
    <row r="646" spans="1:16" ht="246">
      <c r="A646" s="3" t="s">
        <v>2058</v>
      </c>
      <c r="B646" s="2" t="str">
        <f>TRIM(Table1[[#This Row],[Chat Name]])</f>
        <v>Wall of Light</v>
      </c>
      <c r="C646" s="2">
        <v>6</v>
      </c>
      <c r="D646" s="2">
        <v>27</v>
      </c>
      <c r="E646" s="2" t="s">
        <v>23</v>
      </c>
      <c r="F646" s="6" t="b">
        <v>1</v>
      </c>
      <c r="G646" s="6" t="b">
        <v>0</v>
      </c>
      <c r="H646" s="2" t="s">
        <v>34</v>
      </c>
      <c r="I646" s="2" t="b">
        <v>1</v>
      </c>
      <c r="J646" s="2" t="s">
        <v>301</v>
      </c>
      <c r="K646" s="2" t="s">
        <v>160</v>
      </c>
      <c r="L646" s="2" t="b">
        <v>0</v>
      </c>
      <c r="M646" s="2" t="s">
        <v>2059</v>
      </c>
      <c r="N646" s="2" t="s">
        <v>2060</v>
      </c>
      <c r="O646" s="2" t="s">
        <v>498</v>
      </c>
      <c r="P646" s="13" t="s">
        <v>498</v>
      </c>
    </row>
    <row r="647" spans="1:16" ht="73.900000000000006">
      <c r="A647" s="3" t="s">
        <v>2061</v>
      </c>
      <c r="B647" s="2" t="str">
        <f>TRIM(Table1[[#This Row],[Chat Name]])</f>
        <v>Wall of Sand</v>
      </c>
      <c r="C647" s="2">
        <v>4</v>
      </c>
      <c r="D647" s="2">
        <v>15</v>
      </c>
      <c r="E647" s="2" t="s">
        <v>153</v>
      </c>
      <c r="F647" s="6" t="b">
        <v>1</v>
      </c>
      <c r="G647" s="6" t="b">
        <v>0</v>
      </c>
      <c r="H647" s="2" t="s">
        <v>34</v>
      </c>
      <c r="I647" s="2" t="b">
        <v>1</v>
      </c>
      <c r="J647" s="2" t="s">
        <v>301</v>
      </c>
      <c r="K647" s="2" t="s">
        <v>64</v>
      </c>
      <c r="L647" s="2" t="b">
        <v>0</v>
      </c>
      <c r="M647" s="2" t="s">
        <v>2062</v>
      </c>
      <c r="N647" s="2" t="s">
        <v>2063</v>
      </c>
      <c r="O647" s="2"/>
    </row>
    <row r="648" spans="1:16" ht="319.89999999999998">
      <c r="A648" s="3" t="s">
        <v>2064</v>
      </c>
      <c r="B648" s="2" t="str">
        <f>TRIM(Table1[[#This Row],[Chat Name]])</f>
        <v>Wall of Stone</v>
      </c>
      <c r="C648" s="2">
        <v>6</v>
      </c>
      <c r="D648" s="2">
        <v>27</v>
      </c>
      <c r="E648" s="2" t="s">
        <v>153</v>
      </c>
      <c r="F648" s="6" t="b">
        <v>1</v>
      </c>
      <c r="G648" s="6" t="b">
        <v>0</v>
      </c>
      <c r="H648" s="2" t="s">
        <v>34</v>
      </c>
      <c r="I648" s="2" t="b">
        <v>1</v>
      </c>
      <c r="J648" s="2" t="s">
        <v>301</v>
      </c>
      <c r="K648" s="2" t="s">
        <v>160</v>
      </c>
      <c r="L648" s="2" t="b">
        <v>0</v>
      </c>
      <c r="M648" s="2" t="s">
        <v>2065</v>
      </c>
      <c r="N648" s="2" t="s">
        <v>2066</v>
      </c>
      <c r="O648" s="2"/>
    </row>
    <row r="649" spans="1:16" ht="184.5">
      <c r="A649" s="3" t="s">
        <v>2067</v>
      </c>
      <c r="B649" s="2" t="str">
        <f>TRIM(Table1[[#This Row],[Chat Name]])</f>
        <v>Wall of Thorns</v>
      </c>
      <c r="C649" s="2">
        <v>8</v>
      </c>
      <c r="D649" s="2">
        <v>45</v>
      </c>
      <c r="E649" s="2" t="s">
        <v>244</v>
      </c>
      <c r="F649" s="6" t="b">
        <v>1</v>
      </c>
      <c r="G649" s="6" t="b">
        <v>0</v>
      </c>
      <c r="H649" s="2" t="s">
        <v>34</v>
      </c>
      <c r="I649" s="2" t="b">
        <v>1</v>
      </c>
      <c r="J649" s="2" t="s">
        <v>301</v>
      </c>
      <c r="K649" s="2" t="s">
        <v>160</v>
      </c>
      <c r="L649" s="2" t="b">
        <v>0</v>
      </c>
      <c r="M649" s="2" t="s">
        <v>2068</v>
      </c>
      <c r="N649" s="2" t="s">
        <v>2069</v>
      </c>
      <c r="O649" s="2" t="s">
        <v>2070</v>
      </c>
      <c r="P649" s="13" t="s">
        <v>2070</v>
      </c>
    </row>
    <row r="650" spans="1:16" ht="172.15">
      <c r="A650" s="3" t="s">
        <v>2071</v>
      </c>
      <c r="B650" s="2" t="str">
        <f>TRIM(Table1[[#This Row],[Chat Name]])</f>
        <v>Wall of Water</v>
      </c>
      <c r="C650" s="2">
        <v>4</v>
      </c>
      <c r="D650" s="2">
        <v>15</v>
      </c>
      <c r="E650" s="2" t="s">
        <v>153</v>
      </c>
      <c r="F650" s="6" t="b">
        <v>1</v>
      </c>
      <c r="G650" s="6" t="b">
        <v>0</v>
      </c>
      <c r="H650" s="2" t="s">
        <v>34</v>
      </c>
      <c r="I650" s="2" t="b">
        <v>1</v>
      </c>
      <c r="J650" s="2" t="s">
        <v>301</v>
      </c>
      <c r="K650" s="2" t="s">
        <v>56</v>
      </c>
      <c r="L650" s="2" t="b">
        <v>0</v>
      </c>
      <c r="M650" s="2" t="s">
        <v>2072</v>
      </c>
      <c r="N650" s="2" t="s">
        <v>2073</v>
      </c>
      <c r="O650" s="2"/>
    </row>
    <row r="651" spans="1:16" ht="110.65">
      <c r="A651" s="3" t="s">
        <v>2074</v>
      </c>
      <c r="B651" s="2" t="str">
        <f>TRIM(Table1[[#This Row],[Chat Name]])</f>
        <v>Warding Bond</v>
      </c>
      <c r="C651" s="2">
        <v>3</v>
      </c>
      <c r="D651" s="2">
        <v>9</v>
      </c>
      <c r="E651" s="2" t="s">
        <v>23</v>
      </c>
      <c r="F651" s="6" t="b">
        <v>1</v>
      </c>
      <c r="G651" s="6" t="b">
        <v>0</v>
      </c>
      <c r="H651" s="2" t="s">
        <v>34</v>
      </c>
      <c r="I651" s="2" t="b">
        <v>0</v>
      </c>
      <c r="J651" s="2" t="s">
        <v>35</v>
      </c>
      <c r="K651" s="2" t="s">
        <v>110</v>
      </c>
      <c r="L651" s="2" t="b">
        <v>0</v>
      </c>
      <c r="M651" s="2" t="s">
        <v>2075</v>
      </c>
      <c r="N651" s="2" t="s">
        <v>2076</v>
      </c>
      <c r="O651" s="2"/>
    </row>
    <row r="652" spans="1:16" ht="123">
      <c r="A652" s="3" t="s">
        <v>2077</v>
      </c>
      <c r="B652" s="2" t="str">
        <f>TRIM(Table1[[#This Row],[Chat Name]])</f>
        <v>Warding Wind</v>
      </c>
      <c r="C652" s="2">
        <v>2</v>
      </c>
      <c r="D652" s="2">
        <v>6</v>
      </c>
      <c r="E652" s="2" t="s">
        <v>153</v>
      </c>
      <c r="F652" s="6" t="b">
        <v>1</v>
      </c>
      <c r="G652" s="6" t="b">
        <v>0</v>
      </c>
      <c r="H652" s="2" t="s">
        <v>34</v>
      </c>
      <c r="I652" s="2" t="b">
        <v>1</v>
      </c>
      <c r="J652" s="2" t="s">
        <v>301</v>
      </c>
      <c r="K652" s="2" t="s">
        <v>59</v>
      </c>
      <c r="L652" s="2" t="b">
        <v>0</v>
      </c>
      <c r="M652" s="2" t="s">
        <v>2078</v>
      </c>
      <c r="N652" s="2" t="s">
        <v>2079</v>
      </c>
      <c r="O652" s="2"/>
    </row>
    <row r="653" spans="1:16" ht="36.950000000000003">
      <c r="A653" s="3" t="s">
        <v>2080</v>
      </c>
      <c r="B653" s="2" t="str">
        <f>TRIM(Table1[[#This Row],[Chat Name]])</f>
        <v>Water Breathing</v>
      </c>
      <c r="C653" s="2">
        <v>4</v>
      </c>
      <c r="D653" s="2">
        <v>15</v>
      </c>
      <c r="E653" s="2" t="s">
        <v>153</v>
      </c>
      <c r="F653" s="6" t="b">
        <v>1</v>
      </c>
      <c r="G653" s="6" t="b">
        <v>0</v>
      </c>
      <c r="H653" s="2" t="s">
        <v>34</v>
      </c>
      <c r="I653" s="2" t="b">
        <v>0</v>
      </c>
      <c r="J653" s="2" t="s">
        <v>232</v>
      </c>
      <c r="K653" s="2" t="s">
        <v>52</v>
      </c>
      <c r="L653" s="2" t="b">
        <v>1</v>
      </c>
      <c r="M653" s="2" t="s">
        <v>2081</v>
      </c>
      <c r="N653" s="2" t="s">
        <v>2082</v>
      </c>
      <c r="O653" s="2"/>
    </row>
    <row r="654" spans="1:16" ht="86.1">
      <c r="A654" s="3" t="s">
        <v>2083</v>
      </c>
      <c r="B654" s="2" t="str">
        <f>TRIM(Table1[[#This Row],[Chat Name]])</f>
        <v>Water Walk</v>
      </c>
      <c r="C654" s="2">
        <v>3</v>
      </c>
      <c r="D654" s="2">
        <v>9</v>
      </c>
      <c r="E654" s="2" t="s">
        <v>153</v>
      </c>
      <c r="F654" s="6" t="b">
        <v>1</v>
      </c>
      <c r="G654" s="6" t="b">
        <v>0</v>
      </c>
      <c r="H654" s="2" t="s">
        <v>34</v>
      </c>
      <c r="I654" s="2" t="b">
        <v>0</v>
      </c>
      <c r="J654" s="2" t="s">
        <v>35</v>
      </c>
      <c r="K654" s="2" t="s">
        <v>52</v>
      </c>
      <c r="L654" s="2" t="b">
        <v>1</v>
      </c>
      <c r="M654" s="2" t="s">
        <v>2084</v>
      </c>
      <c r="N654" s="2" t="s">
        <v>2085</v>
      </c>
      <c r="O654" s="2"/>
    </row>
    <row r="655" spans="1:16" ht="319.89999999999998">
      <c r="A655" s="3" t="s">
        <v>2086</v>
      </c>
      <c r="B655" s="2" t="str">
        <f>TRIM(Table1[[#This Row],[Chat Name]])</f>
        <v>Watery Sphere</v>
      </c>
      <c r="C655" s="2">
        <v>5</v>
      </c>
      <c r="D655" s="2">
        <v>21</v>
      </c>
      <c r="E655" s="2" t="s">
        <v>153</v>
      </c>
      <c r="F655" s="6" t="b">
        <v>1</v>
      </c>
      <c r="G655" s="6" t="b">
        <v>0</v>
      </c>
      <c r="H655" s="2" t="s">
        <v>34</v>
      </c>
      <c r="I655" s="2" t="b">
        <v>1</v>
      </c>
      <c r="J655" s="2" t="s">
        <v>272</v>
      </c>
      <c r="K655" s="2" t="s">
        <v>64</v>
      </c>
      <c r="L655" s="2" t="b">
        <v>0</v>
      </c>
      <c r="M655" s="2" t="s">
        <v>2087</v>
      </c>
      <c r="N655" s="2" t="s">
        <v>2088</v>
      </c>
      <c r="O655" s="2"/>
    </row>
    <row r="656" spans="1:16" ht="209.1">
      <c r="A656" s="3" t="s">
        <v>2089</v>
      </c>
      <c r="B656" s="2" t="str">
        <f>TRIM(Table1[[#This Row],[Chat Name]])</f>
        <v>Web</v>
      </c>
      <c r="C656" s="2">
        <v>2</v>
      </c>
      <c r="D656" s="2">
        <v>6</v>
      </c>
      <c r="E656" s="2" t="s">
        <v>244</v>
      </c>
      <c r="F656" s="6" t="b">
        <v>1</v>
      </c>
      <c r="G656" s="6" t="b">
        <v>0</v>
      </c>
      <c r="H656" s="2" t="s">
        <v>34</v>
      </c>
      <c r="I656" s="2" t="b">
        <v>1</v>
      </c>
      <c r="J656" s="2" t="s">
        <v>245</v>
      </c>
      <c r="K656" s="2" t="s">
        <v>56</v>
      </c>
      <c r="L656" s="2" t="b">
        <v>0</v>
      </c>
      <c r="M656" s="2" t="s">
        <v>2090</v>
      </c>
      <c r="N656" s="2" t="s">
        <v>2091</v>
      </c>
      <c r="O656" s="2"/>
    </row>
    <row r="657" spans="1:16" ht="123">
      <c r="A657" s="3" t="s">
        <v>2092</v>
      </c>
      <c r="B657" s="2" t="str">
        <f>TRIM(Table1[[#This Row],[Chat Name]])</f>
        <v>Weird</v>
      </c>
      <c r="C657" s="2">
        <v>12</v>
      </c>
      <c r="D657" s="2">
        <v>90</v>
      </c>
      <c r="E657" s="2" t="s">
        <v>73</v>
      </c>
      <c r="F657" s="6" t="b">
        <v>0</v>
      </c>
      <c r="G657" s="6" t="b">
        <v>1</v>
      </c>
      <c r="H657" s="2" t="s">
        <v>34</v>
      </c>
      <c r="I657" s="2" t="b">
        <v>1</v>
      </c>
      <c r="J657" s="2" t="s">
        <v>272</v>
      </c>
      <c r="K657" s="2" t="s">
        <v>160</v>
      </c>
      <c r="L657" s="2" t="b">
        <v>0</v>
      </c>
      <c r="M657" s="2" t="s">
        <v>2093</v>
      </c>
      <c r="N657" s="2" t="s">
        <v>2094</v>
      </c>
      <c r="O657" s="2"/>
    </row>
    <row r="658" spans="1:16" ht="282.95">
      <c r="A658" s="3" t="s">
        <v>2095</v>
      </c>
      <c r="B658" s="2" t="str">
        <f>TRIM(Table1[[#This Row],[Chat Name]])</f>
        <v>Whirlwind</v>
      </c>
      <c r="C658" s="2">
        <v>9</v>
      </c>
      <c r="D658" s="2">
        <v>54</v>
      </c>
      <c r="E658" s="2" t="s">
        <v>153</v>
      </c>
      <c r="F658" s="6" t="b">
        <v>1</v>
      </c>
      <c r="G658" s="6" t="b">
        <v>0</v>
      </c>
      <c r="H658" s="2" t="s">
        <v>34</v>
      </c>
      <c r="I658" s="2" t="b">
        <v>1</v>
      </c>
      <c r="J658" s="2" t="s">
        <v>272</v>
      </c>
      <c r="K658" s="2" t="s">
        <v>102</v>
      </c>
      <c r="L658" s="2" t="b">
        <v>0</v>
      </c>
      <c r="M658" s="2" t="s">
        <v>2096</v>
      </c>
      <c r="N658" s="2" t="s">
        <v>2097</v>
      </c>
      <c r="O658" s="2"/>
    </row>
    <row r="659" spans="1:16" ht="159.94999999999999">
      <c r="A659" s="3" t="s">
        <v>2098</v>
      </c>
      <c r="B659" s="2" t="str">
        <f>TRIM(Table1[[#This Row],[Chat Name]])</f>
        <v>Wind Walk</v>
      </c>
      <c r="C659" s="2">
        <v>8</v>
      </c>
      <c r="D659" s="2">
        <v>45</v>
      </c>
      <c r="E659" s="2" t="s">
        <v>153</v>
      </c>
      <c r="F659" s="6" t="b">
        <v>1</v>
      </c>
      <c r="G659" s="6" t="b">
        <v>0</v>
      </c>
      <c r="H659" s="2" t="s">
        <v>39</v>
      </c>
      <c r="I659" s="2" t="b">
        <v>0</v>
      </c>
      <c r="J659" s="2" t="s">
        <v>40</v>
      </c>
      <c r="K659" s="2" t="s">
        <v>52</v>
      </c>
      <c r="L659" s="2" t="b">
        <v>0</v>
      </c>
      <c r="M659" s="2" t="s">
        <v>2099</v>
      </c>
      <c r="N659" s="2" t="s">
        <v>2100</v>
      </c>
      <c r="O659" s="2"/>
    </row>
    <row r="660" spans="1:16" ht="196.9">
      <c r="A660" s="3" t="s">
        <v>2101</v>
      </c>
      <c r="B660" s="2" t="str">
        <f>TRIM(Table1[[#This Row],[Chat Name]])</f>
        <v>Wind Wall</v>
      </c>
      <c r="C660" s="2">
        <v>4</v>
      </c>
      <c r="D660" s="2">
        <v>15</v>
      </c>
      <c r="E660" s="2" t="s">
        <v>153</v>
      </c>
      <c r="F660" s="6" t="b">
        <v>1</v>
      </c>
      <c r="G660" s="6" t="b">
        <v>0</v>
      </c>
      <c r="H660" s="2" t="s">
        <v>34</v>
      </c>
      <c r="I660" s="2" t="b">
        <v>1</v>
      </c>
      <c r="J660" s="2" t="s">
        <v>272</v>
      </c>
      <c r="K660" s="2" t="s">
        <v>160</v>
      </c>
      <c r="L660" s="2" t="b">
        <v>0</v>
      </c>
      <c r="M660" s="2" t="s">
        <v>2102</v>
      </c>
      <c r="N660" s="2" t="s">
        <v>2102</v>
      </c>
      <c r="O660" s="2"/>
    </row>
    <row r="661" spans="1:16" ht="110.65">
      <c r="A661" s="3" t="s">
        <v>2103</v>
      </c>
      <c r="B661" s="2" t="str">
        <f>TRIM(Table1[[#This Row],[Chat Name]])</f>
        <v>Witch Bolt</v>
      </c>
      <c r="C661" s="2">
        <v>1</v>
      </c>
      <c r="D661" s="2">
        <v>3</v>
      </c>
      <c r="E661" s="2" t="s">
        <v>153</v>
      </c>
      <c r="F661" s="6" t="b">
        <v>1</v>
      </c>
      <c r="G661" s="6" t="b">
        <v>0</v>
      </c>
      <c r="H661" s="2" t="s">
        <v>34</v>
      </c>
      <c r="I661" s="2" t="b">
        <v>1</v>
      </c>
      <c r="J661" s="2" t="s">
        <v>272</v>
      </c>
      <c r="K661" s="2" t="s">
        <v>52</v>
      </c>
      <c r="L661" s="2" t="b">
        <v>0</v>
      </c>
      <c r="M661" s="2" t="s">
        <v>2104</v>
      </c>
      <c r="N661" s="2" t="s">
        <v>2105</v>
      </c>
      <c r="O661" s="2" t="s">
        <v>2106</v>
      </c>
      <c r="P661" s="13" t="s">
        <v>2106</v>
      </c>
    </row>
    <row r="662" spans="1:16" ht="98.45">
      <c r="A662" s="3" t="s">
        <v>2107</v>
      </c>
      <c r="B662" s="2" t="str">
        <f>TRIM(Table1[[#This Row],[Chat Name]])</f>
        <v>Wither and Bloom</v>
      </c>
      <c r="C662" s="2">
        <v>2</v>
      </c>
      <c r="D662" s="2">
        <v>6</v>
      </c>
      <c r="E662" s="2" t="s">
        <v>17</v>
      </c>
      <c r="F662" s="6" t="b">
        <v>0</v>
      </c>
      <c r="G662" s="6" t="b">
        <v>1</v>
      </c>
      <c r="H662" s="2" t="s">
        <v>34</v>
      </c>
      <c r="I662" s="2" t="b">
        <v>0</v>
      </c>
      <c r="J662" s="2" t="s">
        <v>19</v>
      </c>
      <c r="K662" s="2" t="s">
        <v>56</v>
      </c>
      <c r="L662" s="2" t="b">
        <v>0</v>
      </c>
      <c r="M662" s="2" t="s">
        <v>2108</v>
      </c>
      <c r="N662" s="2" t="s">
        <v>2108</v>
      </c>
      <c r="O662" s="2" t="s">
        <v>2109</v>
      </c>
      <c r="P662" s="13" t="s">
        <v>2109</v>
      </c>
    </row>
    <row r="663" spans="1:16" ht="159.94999999999999">
      <c r="A663" s="3" t="s">
        <v>2110</v>
      </c>
      <c r="B663" s="2" t="str">
        <f>TRIM(Table1[[#This Row],[Chat Name]])</f>
        <v>Withering Seal</v>
      </c>
      <c r="C663" s="2">
        <v>8</v>
      </c>
      <c r="D663" s="2">
        <v>45</v>
      </c>
      <c r="E663" s="2" t="s">
        <v>17</v>
      </c>
      <c r="F663" s="7" t="b">
        <v>0</v>
      </c>
      <c r="G663" s="7" t="b">
        <v>1</v>
      </c>
      <c r="H663" s="2" t="s">
        <v>34</v>
      </c>
      <c r="I663" s="2" t="b">
        <v>1</v>
      </c>
      <c r="J663" s="2" t="s">
        <v>35</v>
      </c>
      <c r="K663" s="2" t="s">
        <v>64</v>
      </c>
      <c r="L663" s="2" t="b">
        <v>0</v>
      </c>
      <c r="M663" s="2"/>
      <c r="N663" s="11" t="s">
        <v>2111</v>
      </c>
      <c r="O663" s="2" t="s">
        <v>2112</v>
      </c>
      <c r="P663" s="13" t="s">
        <v>2112</v>
      </c>
    </row>
    <row r="664" spans="1:16" ht="61.5">
      <c r="A664" s="3" t="s">
        <v>2113</v>
      </c>
      <c r="B664" s="2" t="str">
        <f>TRIM(Table1[[#This Row],[Chat Name]])</f>
        <v>Word of Radiance</v>
      </c>
      <c r="C664" s="2">
        <v>0</v>
      </c>
      <c r="D664" s="2">
        <v>0</v>
      </c>
      <c r="E664" s="2" t="s">
        <v>23</v>
      </c>
      <c r="F664" s="6" t="b">
        <v>1</v>
      </c>
      <c r="G664" s="6" t="b">
        <v>0</v>
      </c>
      <c r="H664" s="2" t="s">
        <v>34</v>
      </c>
      <c r="I664" s="2" t="b">
        <v>0</v>
      </c>
      <c r="J664" s="2" t="s">
        <v>19</v>
      </c>
      <c r="K664" s="2" t="s">
        <v>595</v>
      </c>
      <c r="L664" s="2" t="b">
        <v>0</v>
      </c>
      <c r="M664" s="2" t="s">
        <v>2114</v>
      </c>
      <c r="N664" s="2" t="s">
        <v>2115</v>
      </c>
      <c r="O664" s="2"/>
    </row>
    <row r="665" spans="1:16" ht="123">
      <c r="A665" s="3" t="s">
        <v>2116</v>
      </c>
      <c r="B665" s="2" t="str">
        <f>TRIM(Table1[[#This Row],[Chat Name]])</f>
        <v>Word of Recall</v>
      </c>
      <c r="C665" s="2">
        <v>7</v>
      </c>
      <c r="D665" s="2">
        <v>36</v>
      </c>
      <c r="E665" s="2" t="s">
        <v>23</v>
      </c>
      <c r="F665" s="6" t="b">
        <v>1</v>
      </c>
      <c r="G665" s="6" t="b">
        <v>0</v>
      </c>
      <c r="H665" s="2" t="s">
        <v>34</v>
      </c>
      <c r="I665" s="2" t="b">
        <v>0</v>
      </c>
      <c r="J665" s="2" t="s">
        <v>19</v>
      </c>
      <c r="K665" s="2" t="s">
        <v>595</v>
      </c>
      <c r="L665" s="2" t="b">
        <v>0</v>
      </c>
      <c r="M665" s="2" t="s">
        <v>2117</v>
      </c>
      <c r="N665" s="2" t="s">
        <v>2118</v>
      </c>
      <c r="O665" s="2"/>
    </row>
    <row r="666" spans="1:16" ht="246">
      <c r="A666" s="3" t="s">
        <v>2119</v>
      </c>
      <c r="B666" s="2" t="str">
        <f>TRIM(Table1[[#This Row],[Chat Name]])</f>
        <v>Wrath of Nature</v>
      </c>
      <c r="C666" s="2">
        <v>6</v>
      </c>
      <c r="D666" s="2">
        <v>27</v>
      </c>
      <c r="E666" s="2" t="s">
        <v>244</v>
      </c>
      <c r="F666" s="6" t="b">
        <v>1</v>
      </c>
      <c r="G666" s="6" t="b">
        <v>0</v>
      </c>
      <c r="H666" s="2" t="s">
        <v>34</v>
      </c>
      <c r="I666" s="2" t="b">
        <v>1</v>
      </c>
      <c r="J666" s="2" t="s">
        <v>272</v>
      </c>
      <c r="K666" s="2" t="s">
        <v>160</v>
      </c>
      <c r="L666" s="2" t="b">
        <v>0</v>
      </c>
      <c r="M666" s="2" t="s">
        <v>2120</v>
      </c>
      <c r="N666" s="2" t="s">
        <v>2121</v>
      </c>
      <c r="O666" s="2"/>
    </row>
    <row r="667" spans="1:16" ht="73.900000000000006">
      <c r="A667" s="3" t="s">
        <v>2122</v>
      </c>
      <c r="B667" s="2" t="str">
        <f>TRIM(Table1[[#This Row],[Chat Name]])</f>
        <v>Wrathful Smite</v>
      </c>
      <c r="C667" s="2">
        <v>1</v>
      </c>
      <c r="D667" s="2">
        <v>3</v>
      </c>
      <c r="E667" s="2" t="s">
        <v>80</v>
      </c>
      <c r="F667" s="6" t="b">
        <v>1</v>
      </c>
      <c r="G667" s="6" t="b">
        <v>0</v>
      </c>
      <c r="H667" s="2" t="s">
        <v>31</v>
      </c>
      <c r="I667" s="2" t="b">
        <v>1</v>
      </c>
      <c r="J667" s="2" t="s">
        <v>272</v>
      </c>
      <c r="K667" s="2" t="s">
        <v>59</v>
      </c>
      <c r="L667" s="2" t="b">
        <v>0</v>
      </c>
      <c r="M667" s="2" t="s">
        <v>2123</v>
      </c>
      <c r="N667" s="2" t="s">
        <v>2124</v>
      </c>
      <c r="O667" s="2"/>
    </row>
    <row r="668" spans="1:16" ht="98.45">
      <c r="A668" s="3" t="s">
        <v>2125</v>
      </c>
      <c r="B668" s="2" t="str">
        <f>TRIM(Table1[[#This Row],[Chat Name]])</f>
        <v>Wristpocket</v>
      </c>
      <c r="C668" s="2">
        <v>2</v>
      </c>
      <c r="D668" s="2">
        <v>6</v>
      </c>
      <c r="E668" s="2" t="s">
        <v>244</v>
      </c>
      <c r="F668" s="6" t="b">
        <v>1</v>
      </c>
      <c r="G668" s="6" t="b">
        <v>0</v>
      </c>
      <c r="H668" s="2" t="s">
        <v>34</v>
      </c>
      <c r="I668" s="2" t="b">
        <v>1</v>
      </c>
      <c r="J668" s="2" t="s">
        <v>245</v>
      </c>
      <c r="K668" s="2" t="s">
        <v>59</v>
      </c>
      <c r="L668" s="2" t="b">
        <v>1</v>
      </c>
      <c r="M668" s="2" t="s">
        <v>2126</v>
      </c>
      <c r="N668" s="2" t="s">
        <v>2127</v>
      </c>
      <c r="O668" s="2"/>
    </row>
    <row r="669" spans="1:16" ht="73.900000000000006">
      <c r="A669" s="3" t="s">
        <v>2128</v>
      </c>
      <c r="B669" s="2" t="str">
        <f>TRIM(Table1[[#This Row],[Chat Name]])</f>
        <v>Zephyr Strike</v>
      </c>
      <c r="C669" s="2">
        <v>1</v>
      </c>
      <c r="D669" s="2">
        <v>3</v>
      </c>
      <c r="E669" s="2" t="s">
        <v>244</v>
      </c>
      <c r="F669" s="6" t="b">
        <v>1</v>
      </c>
      <c r="G669" s="6" t="b">
        <v>0</v>
      </c>
      <c r="H669" s="2" t="s">
        <v>31</v>
      </c>
      <c r="I669" s="2" t="b">
        <v>1</v>
      </c>
      <c r="J669" s="2" t="s">
        <v>272</v>
      </c>
      <c r="K669" s="2" t="s">
        <v>59</v>
      </c>
      <c r="L669" s="2" t="b">
        <v>0</v>
      </c>
      <c r="M669" s="2" t="s">
        <v>2129</v>
      </c>
      <c r="N669" s="2" t="s">
        <v>2130</v>
      </c>
      <c r="O669" s="2"/>
    </row>
    <row r="670" spans="1:16" ht="135.4">
      <c r="A670" s="3" t="s">
        <v>2131</v>
      </c>
      <c r="B670" s="2" t="str">
        <f>TRIM(Table1[[#This Row],[Chat Name]])</f>
        <v>Zone of Truth</v>
      </c>
      <c r="C670" s="2">
        <v>2</v>
      </c>
      <c r="D670" s="2">
        <v>6</v>
      </c>
      <c r="E670" s="2" t="s">
        <v>73</v>
      </c>
      <c r="F670" s="6" t="b">
        <v>0</v>
      </c>
      <c r="G670" s="6" t="b">
        <v>1</v>
      </c>
      <c r="H670" s="2" t="s">
        <v>34</v>
      </c>
      <c r="I670" s="2" t="b">
        <v>0</v>
      </c>
      <c r="J670" s="2" t="s">
        <v>18</v>
      </c>
      <c r="K670" s="2" t="s">
        <v>56</v>
      </c>
      <c r="L670" s="2" t="b">
        <v>0</v>
      </c>
      <c r="M670" s="2" t="s">
        <v>2132</v>
      </c>
      <c r="N670" s="2" t="s">
        <v>2133</v>
      </c>
      <c r="O670" s="2"/>
    </row>
    <row r="671" spans="1:16">
      <c r="B671" s="2"/>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Blake Cargill</cp:lastModifiedBy>
  <cp:revision/>
  <dcterms:created xsi:type="dcterms:W3CDTF">2025-07-03T05:48:19Z</dcterms:created>
  <dcterms:modified xsi:type="dcterms:W3CDTF">2025-08-02T13:35:45Z</dcterms:modified>
  <cp:category/>
  <cp:contentStatus/>
</cp:coreProperties>
</file>